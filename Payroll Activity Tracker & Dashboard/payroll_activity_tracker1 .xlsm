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35b8162069157931/Desktop/testing/"/>
    </mc:Choice>
  </mc:AlternateContent>
  <xr:revisionPtr revIDLastSave="0" documentId="14_{330B4F62-0E56-4149-A260-E96ACCEF26E8}" xr6:coauthVersionLast="47" xr6:coauthVersionMax="47" xr10:uidLastSave="{00000000-0000-0000-0000-000000000000}"/>
  <bookViews>
    <workbookView xWindow="-110" yWindow="-110" windowWidth="19420" windowHeight="10300" firstSheet="1" activeTab="4" xr2:uid="{00000000-000D-0000-FFFF-FFFF00000000}"/>
  </bookViews>
  <sheets>
    <sheet name="Employee_Info" sheetId="1" r:id="rId1"/>
    <sheet name="Payroll_Log" sheetId="3" r:id="rId2"/>
    <sheet name="Deductions" sheetId="4" r:id="rId3"/>
    <sheet name="Tax_Info" sheetId="5" r:id="rId4"/>
    <sheet name="Dashboard" sheetId="12" r:id="rId5"/>
    <sheet name="Pivot_Tables" sheetId="25" r:id="rId6"/>
  </sheets>
  <definedNames>
    <definedName name="_xlnm._FilterDatabase" localSheetId="1" hidden="1">Payroll_Log!$A$1:$L$11</definedName>
    <definedName name="Departments">#REF!</definedName>
    <definedName name="Employee_IDs">EmployeeTable[Employee_ID]</definedName>
    <definedName name="In_active_status">#REF!</definedName>
    <definedName name="Key">#REF!</definedName>
    <definedName name="Pay_Type">#REF!</definedName>
    <definedName name="Slicer_Department">#N/A</definedName>
    <definedName name="Slicer_Pay_Period_End">#N/A</definedName>
    <definedName name="Slicer_Payment_Status">#N/A</definedName>
    <definedName name="Total_Deductions">#REF!</definedName>
  </definedNames>
  <calcPr calcId="191028"/>
  <pivotCaches>
    <pivotCache cacheId="4" r:id="rId7"/>
  </pivotCaches>
  <fileRecoveryPr repairLoad="1"/>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4" l="1"/>
  <c r="F10" i="4"/>
  <c r="F9" i="4"/>
  <c r="F8" i="4"/>
  <c r="F7" i="4"/>
  <c r="F6" i="4"/>
  <c r="F5" i="4"/>
  <c r="F4" i="4"/>
  <c r="F3" i="4"/>
  <c r="F2" i="4"/>
  <c r="L11" i="3"/>
  <c r="I11" i="3"/>
  <c r="H11" i="3"/>
  <c r="G11" i="3"/>
  <c r="G11" i="3" a="1"/>
  <c r="F11" i="3"/>
  <c r="A11" i="3"/>
  <c r="L10" i="3"/>
  <c r="I10" i="3"/>
  <c r="H10" i="3"/>
  <c r="G10" i="3"/>
  <c r="G10" i="3" a="1"/>
  <c r="F10" i="3"/>
  <c r="A10" i="3"/>
  <c r="L9" i="3"/>
  <c r="I9" i="3"/>
  <c r="H9" i="3"/>
  <c r="G9" i="3"/>
  <c r="G9" i="3" a="1"/>
  <c r="F9" i="3"/>
  <c r="A9" i="3"/>
  <c r="L8" i="3"/>
  <c r="I8" i="3"/>
  <c r="H8" i="3"/>
  <c r="G8" i="3"/>
  <c r="G8" i="3" a="1"/>
  <c r="F8" i="3"/>
  <c r="A8" i="3"/>
  <c r="L7" i="3"/>
  <c r="I7" i="3"/>
  <c r="H7" i="3"/>
  <c r="G7" i="3"/>
  <c r="G7" i="3" a="1"/>
  <c r="F7" i="3"/>
  <c r="A7" i="3"/>
  <c r="L6" i="3"/>
  <c r="I6" i="3"/>
  <c r="H6" i="3"/>
  <c r="G6" i="3"/>
  <c r="G6" i="3" a="1"/>
  <c r="F6" i="3"/>
  <c r="A6" i="3"/>
  <c r="L5" i="3"/>
  <c r="I5" i="3"/>
  <c r="H5" i="3"/>
  <c r="G5" i="3"/>
  <c r="G5" i="3" a="1"/>
  <c r="F5" i="3"/>
  <c r="A5" i="3"/>
  <c r="L4" i="3"/>
  <c r="I4" i="3"/>
  <c r="H4" i="3"/>
  <c r="G4" i="3"/>
  <c r="G4" i="3" a="1"/>
  <c r="F4" i="3"/>
  <c r="A4" i="3"/>
  <c r="L3" i="3"/>
  <c r="I3" i="3"/>
  <c r="H3" i="3"/>
  <c r="G3" i="3"/>
  <c r="G3" i="3" a="1"/>
  <c r="F3" i="3"/>
  <c r="A3" i="3"/>
  <c r="L2" i="3"/>
  <c r="I2" i="3"/>
  <c r="H2" i="3"/>
  <c r="F2" i="3"/>
  <c r="A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<sst xmlns="http://schemas.openxmlformats.org/spreadsheetml/2006/main" count="151" uniqueCount="83">
  <si>
    <t>Employee_ID</t>
  </si>
  <si>
    <t>Full_Name</t>
  </si>
  <si>
    <t>Department</t>
  </si>
  <si>
    <t xml:space="preserve">Position </t>
  </si>
  <si>
    <t>Hire_Date</t>
  </si>
  <si>
    <t>Pay_Type</t>
  </si>
  <si>
    <t>Pay_Rate</t>
  </si>
  <si>
    <t>Bank_Account</t>
  </si>
  <si>
    <t>Active_Status</t>
  </si>
  <si>
    <t>E001</t>
  </si>
  <si>
    <t>Alice Carter</t>
  </si>
  <si>
    <t>HR</t>
  </si>
  <si>
    <t>HR Specialist</t>
  </si>
  <si>
    <t>Salaried</t>
  </si>
  <si>
    <t>XXXX-8347</t>
  </si>
  <si>
    <t>Active</t>
  </si>
  <si>
    <t>E002</t>
  </si>
  <si>
    <t>Bob Martin</t>
  </si>
  <si>
    <t>IT</t>
  </si>
  <si>
    <t>Sys Admin</t>
  </si>
  <si>
    <t>XXXX-9912</t>
  </si>
  <si>
    <t>E003</t>
  </si>
  <si>
    <t>Carol Adams</t>
  </si>
  <si>
    <t>Payroll</t>
  </si>
  <si>
    <t>Payroll Analyst</t>
  </si>
  <si>
    <t>Hourly</t>
  </si>
  <si>
    <t>XXXX-4321</t>
  </si>
  <si>
    <t>E004</t>
  </si>
  <si>
    <t>David Thomas</t>
  </si>
  <si>
    <t>Finance</t>
  </si>
  <si>
    <t>Accountant</t>
  </si>
  <si>
    <t>XXXX-7845</t>
  </si>
  <si>
    <t>E005</t>
  </si>
  <si>
    <t>Emma Lewis</t>
  </si>
  <si>
    <t>Clerk</t>
  </si>
  <si>
    <t>XXXX-2201</t>
  </si>
  <si>
    <t>E006</t>
  </si>
  <si>
    <t>Felix Wright</t>
  </si>
  <si>
    <t>Marketing</t>
  </si>
  <si>
    <t>Coordinator</t>
  </si>
  <si>
    <t>XXXX-6930</t>
  </si>
  <si>
    <t>E007</t>
  </si>
  <si>
    <t>Grace Hughes</t>
  </si>
  <si>
    <t>Jr. Analyst</t>
  </si>
  <si>
    <t>XXXX-1188</t>
  </si>
  <si>
    <t>E008</t>
  </si>
  <si>
    <t>Henry Morris</t>
  </si>
  <si>
    <t>Support Engineer</t>
  </si>
  <si>
    <t>XXXX-3765</t>
  </si>
  <si>
    <t>E009</t>
  </si>
  <si>
    <t>Ivy Nelson</t>
  </si>
  <si>
    <t>Assistant</t>
  </si>
  <si>
    <t>XXXX-5092</t>
  </si>
  <si>
    <t>E010</t>
  </si>
  <si>
    <t>Jack Turner</t>
  </si>
  <si>
    <t>Specialist</t>
  </si>
  <si>
    <t>XXXX-7483</t>
  </si>
  <si>
    <t>Pay_ID</t>
  </si>
  <si>
    <t>Pay_Period_Start</t>
  </si>
  <si>
    <t>Pay_Period_End</t>
  </si>
  <si>
    <t>Hours_Worked</t>
  </si>
  <si>
    <t>Gross_Pay</t>
  </si>
  <si>
    <t>Total_Deductions</t>
  </si>
  <si>
    <t>Tax_Withheld</t>
  </si>
  <si>
    <t>Net_Pay</t>
  </si>
  <si>
    <t>Payment_Status</t>
  </si>
  <si>
    <t>Date_Processed</t>
  </si>
  <si>
    <t>Processed</t>
  </si>
  <si>
    <t>Failed</t>
  </si>
  <si>
    <t>Pending</t>
  </si>
  <si>
    <t>Health_Insurance</t>
  </si>
  <si>
    <t>Retirement_401(k)</t>
  </si>
  <si>
    <t>Other</t>
  </si>
  <si>
    <t>Tax_Type</t>
  </si>
  <si>
    <t>Rate</t>
  </si>
  <si>
    <t>Federal Tax</t>
  </si>
  <si>
    <t>Medicare Tax</t>
  </si>
  <si>
    <t xml:space="preserve">Social Security </t>
  </si>
  <si>
    <t>Sum of Net_Pay</t>
  </si>
  <si>
    <t>Sum of Gross_Pay</t>
  </si>
  <si>
    <t>Grand Total</t>
  </si>
  <si>
    <t>Count of Payment_Status</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</si>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</sst>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164" formatCode="&quot;$&quot;#,##0.00"/>
    <numFmt numFmtId="165" formatCode="mm/dd/yy;@"/>
    <numFmt numFmtId="166" formatCode="0.00_);\(0.00\)"/>
  </numFmts>
  <fonts count="3" x14ac:knownFonts="1">
    <font>
      <sz val="11"/>
      <color theme="1"/>
      <name val="Aptos Narrow"/>
      <family val="2"/>
      <scheme val="minor"/>
    </font>
    <font>
      <b/>
      <sz val="11"/>
      <color theme="1"/>
      <name val="Aptos Narrow"/>
      <family val="2"/>
      <scheme val="minor"/>
    </font>
    <font>
      <sz val="14"/>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164" fontId="0" fillId="0" borderId="0" xfId="0" applyNumberFormat="1"/>
    <xf numFmtId="7" fontId="0" fillId="0" borderId="0" xfId="0" applyNumberFormat="1"/>
    <xf numFmtId="165" fontId="0" fillId="0" borderId="0" xfId="0" applyNumberFormat="1"/>
    <xf numFmtId="0" fontId="0" fillId="0" borderId="0" xfId="0" pivotButton="1"/>
    <xf numFmtId="0" fontId="1" fillId="0" borderId="0" xfId="0" applyFont="1"/>
    <xf numFmtId="0" fontId="0" fillId="0" borderId="0" xfId="0" applyAlignment="1">
      <alignment horizontal="left"/>
    </xf>
    <xf numFmtId="166" fontId="0" fillId="0" borderId="0" xfId="0" applyNumberFormat="1"/>
    <xf numFmtId="14" fontId="0" fillId="0" borderId="0" xfId="0" applyNumberFormat="1" applyAlignment="1">
      <alignment horizontal="left"/>
    </xf>
    <xf numFmtId="0" fontId="0" fillId="0" borderId="0" xfId="0" applyNumberFormat="1"/>
  </cellXfs>
  <cellStyles count="1">
    <cellStyle name="Normal" xfId="0" builtinId="0"/>
  </cellStyles>
  <dxfs count="2">
    <dxf>
      <numFmt numFmtId="11" formatCode="&quot;$&quot;#,##0.00_);\(&quot;$&quot;#,##0.00\)"/>
    </dxf>
    <dxf>
      <numFmt numFmtId="19" formatCode="m/d/yyyy"/>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[payroll_activity_tracker1 .xlsm]Pivot_Tables!PivotTable10</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Pivot_Tables!$D$4</c:f>
              <c:strCache>
                <c:ptCount val="1"/>
                <c:pt idx="0">
                  <c:v>Sum of Gross_Pay</c:v>
                </c:pt>
              </c:strCache>
            </c:strRef>
          </c:tx>
          <c:spPr>
            <a:solidFill>
              <a:schemeClr val="accent1"/>
            </a:solidFill>
            <a:ln>
              <a:noFill/>
            </a:ln>
            <a:effectLst/>
          </c:spPr>
          <c:invertIfNegative val="0"/>
          <c:cat>
            <c:strRef>
              <c:f>Pivot_Tables!$C$5:$C$10</c:f>
              <c:strCache>
                <c:ptCount val="5"/>
                <c:pt idx="0">
                  <c:v>Finance</c:v>
                </c:pt>
                <c:pt idx="1">
                  <c:v>HR</c:v>
                </c:pt>
                <c:pt idx="2">
                  <c:v>IT</c:v>
                </c:pt>
                <c:pt idx="3">
                  <c:v>Marketing</c:v>
                </c:pt>
                <c:pt idx="4">
                  <c:v>Payroll</c:v>
                </c:pt>
              </c:strCache>
            </c:strRef>
          </c:cat>
          <c:val>
            <c:numRef>
              <c:f>Pivot_Tables!$D$5:$D$10</c:f>
              <c:numCache>
                <c:formatCode>General</c:formatCode>
                <c:ptCount val="5"/>
                <c:pt idx="0">
                  <c:v>8400</c:v>
                </c:pt>
                <c:pt idx="1">
                  <c:v>8160</c:v>
                </c:pt>
                <c:pt idx="2">
                  <c:v>9960</c:v>
                </c:pt>
                <c:pt idx="3">
                  <c:v>3875</c:v>
                </c:pt>
                <c:pt idx="4">
                  <c:v>12720</c:v>
                </c:pt>
              </c:numCache>
            </c:numRef>
          </c:val>
          <c:extLst>
            <c:ext xmlns:c16="http://schemas.microsoft.com/office/drawing/2014/chart" uri="{C3380CC4-5D6E-409C-BE32-E72D297353CC}">
              <c16:uniqueId val="{00000000-3488-4C8A-9AF1-6883E02043C1}"/>
            </c:ext>
          </c:extLst>
        </c:ser>
        <c:ser>
          <c:idx val="1"/>
          <c:order val="1"/>
          <c:tx>
            <c:strRef>
              <c:f>Pivot_Tables!$E$4</c:f>
              <c:strCache>
                <c:ptCount val="1"/>
                <c:pt idx="0">
                  <c:v>Sum of Net_Pay</c:v>
                </c:pt>
              </c:strCache>
            </c:strRef>
          </c:tx>
          <c:spPr>
            <a:solidFill>
              <a:schemeClr val="accent2"/>
            </a:solidFill>
            <a:ln>
              <a:noFill/>
            </a:ln>
            <a:effectLst/>
          </c:spPr>
          <c:invertIfNegative val="0"/>
          <c:cat>
            <c:strRef>
              <c:f>Pivot_Tables!$C$5:$C$10</c:f>
              <c:strCache>
                <c:ptCount val="5"/>
                <c:pt idx="0">
                  <c:v>Finance</c:v>
                </c:pt>
                <c:pt idx="1">
                  <c:v>HR</c:v>
                </c:pt>
                <c:pt idx="2">
                  <c:v>IT</c:v>
                </c:pt>
                <c:pt idx="3">
                  <c:v>Marketing</c:v>
                </c:pt>
                <c:pt idx="4">
                  <c:v>Payroll</c:v>
                </c:pt>
              </c:strCache>
            </c:strRef>
          </c:cat>
          <c:val>
            <c:numRef>
              <c:f>Pivot_Tables!$E$5:$E$10</c:f>
              <c:numCache>
                <c:formatCode>General</c:formatCode>
                <c:ptCount val="5"/>
                <c:pt idx="0">
                  <c:v>6179.4</c:v>
                </c:pt>
                <c:pt idx="1">
                  <c:v>5998.56</c:v>
                </c:pt>
                <c:pt idx="2">
                  <c:v>7354.86</c:v>
                </c:pt>
                <c:pt idx="3">
                  <c:v>2844.8125</c:v>
                </c:pt>
                <c:pt idx="4">
                  <c:v>9339.52</c:v>
                </c:pt>
              </c:numCache>
            </c:numRef>
          </c:val>
          <c:extLst>
            <c:ext xmlns:c16="http://schemas.microsoft.com/office/drawing/2014/chart" uri="{C3380CC4-5D6E-409C-BE32-E72D297353CC}">
              <c16:uniqueId val="{00000001-3488-4C8A-9AF1-6883E02043C1}"/>
            </c:ext>
          </c:extLst>
        </c:ser>
        <c:dLbls>
          <c:showLegendKey val="0"/>
          <c:showVal val="0"/>
          <c:showCatName val="0"/>
          <c:showSerName val="0"/>
          <c:showPercent val="0"/>
          <c:showBubbleSize val="0"/>
        </c:dLbls>
        <c:gapWidth val="219"/>
        <c:overlap val="-27"/>
        <c:axId val="2000690927"/>
        <c:axId val="2000691887"/>
      </c:barChart>
      <c:catAx>
        <c:axId val="2000690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691887"/>
        <c:crosses val="autoZero"/>
        <c:auto val="1"/>
        <c:lblAlgn val="ctr"/>
        <c:lblOffset val="100"/>
        <c:noMultiLvlLbl val="0"/>
      </c:catAx>
      <c:valAx>
        <c:axId val="2000691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690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[payroll_activity_tracker1 .xlsm]Pivot_Tables!PivotTable13</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Pivot_Tables!$K$4</c:f>
              <c:strCache>
                <c:ptCount val="1"/>
                <c:pt idx="0">
                  <c:v>Sum of Net_Pay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Pivot_Tables!$K$5:$K$13</c:f>
              <c:numCache>
                <c:formatCode>General</c:formatCode>
                <c:ptCount val="8"/>
                <c:pt idx="0">
                  <c:v>2863.65</c:v>
                </c:pt>
                <c:pt idx="1">
                  <c:v>6527.3125</c:v>
                </c:pt>
                <c:pt idx="2">
                  <c:v>3511.66</c:v>
                </c:pt>
                <c:pt idx="3">
                  <c:v>3843.2</c:v>
                </c:pt>
                <c:pt idx="4">
                  <c:v>3315.75</c:v>
                </c:pt>
                <c:pt idx="5">
                  <c:v>3079.7</c:v>
                </c:pt>
                <c:pt idx="6">
                  <c:v>2577.3199999999997</c:v>
                </c:pt>
                <c:pt idx="7">
                  <c:v>3541.8</c:v>
                </c:pt>
              </c:numCache>
            </c:numRef>
          </c:val>
          <c:smooth val="0"/>
          <c:extLst>
            <c:ext xmlns:c16="http://schemas.microsoft.com/office/drawing/2014/chart" uri="{C3380CC4-5D6E-409C-BE32-E72D297353CC}">
              <c16:uniqueId val="{00000000-24FD-46BD-9C84-7E5C3843A78D}"/>
            </c:ext>
          </c:extLst>
        </c:ser>
        <c:ser>
          <c:idx val="1"/>
          <c:order val="1"/>
          <c:tx>
            <c:strRef>
              <c:f>Pivot_Tables!$L$4</c:f>
              <c:strCache>
                <c:ptCount val="1"/>
                <c:pt idx="0">
                  <c:v>Sum of Gross_Pay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spPr>
              <a:ln w="28575" cap="rnd">
                <a:solidFill>
                  <a:schemeClr val="accent2"/>
                </a:solidFill>
                <a:round/>
              </a:ln>
              <a:effectLst>
                <a:glow rad="127000">
                  <a:schemeClr val="bg1"/>
                </a:glow>
                <a:softEdge rad="0"/>
              </a:effectLst>
            </c:spPr>
          </c:dPt>
          <c:dPt>
            <c:idx val="6"/>
            <c:marker>
              <c:symbol val="circle"/>
              <c:size val="5"/>
              <c:spPr>
                <a:solidFill>
                  <a:schemeClr val="accent2"/>
                </a:solidFill>
                <a:ln w="9525">
                  <a:solidFill>
                    <a:schemeClr val="accent2"/>
                  </a:solidFill>
                </a:ln>
                <a:effectLst/>
              </c:spPr>
            </c:marker>
            <c:bubble3D val="0"/>
            <c:extLst>
              <c:ext xmlns:c16="http://schemas.microsoft.com/office/drawing/2014/chart" uri="{C3380CC4-5D6E-409C-BE32-E72D297353CC}">
                <c16:uniqueId val="{00000002-24FD-46BD-9C84-7E5C3843A78D}"/>
              </c:ext>
            </c:extLst>
          </c:dPt>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Pivot_Tables!$L$5:$L$13</c:f>
              <c:numCache>
                <c:formatCode>General</c:formatCode>
                <c:ptCount val="8"/>
                <c:pt idx="0">
                  <c:v>3900</c:v>
                </c:pt>
                <c:pt idx="1">
                  <c:v>8875</c:v>
                </c:pt>
                <c:pt idx="2">
                  <c:v>4760</c:v>
                </c:pt>
                <c:pt idx="3">
                  <c:v>5200</c:v>
                </c:pt>
                <c:pt idx="4">
                  <c:v>4500</c:v>
                </c:pt>
                <c:pt idx="5">
                  <c:v>4200</c:v>
                </c:pt>
                <c:pt idx="6">
                  <c:v>3520</c:v>
                </c:pt>
                <c:pt idx="7">
                  <c:v>4800</c:v>
                </c:pt>
              </c:numCache>
            </c:numRef>
          </c:val>
          <c:smooth val="0"/>
          <c:extLst>
            <c:ext xmlns:c16="http://schemas.microsoft.com/office/drawing/2014/chart" uri="{C3380CC4-5D6E-409C-BE32-E72D297353CC}">
              <c16:uniqueId val="{00000003-24FD-46BD-9C84-7E5C3843A78D}"/>
            </c:ext>
          </c:extLst>
        </c:ser>
        <c:dLbls>
          <c:showLegendKey val="0"/>
          <c:showVal val="0"/>
          <c:showCatName val="0"/>
          <c:showSerName val="0"/>
          <c:showPercent val="0"/>
          <c:showBubbleSize val="0"/>
        </c:dLbls>
        <c:marker val="1"/>
        <c:smooth val="0"/>
        <c:axId val="78591503"/>
        <c:axId val="78592463"/>
      </c:lineChart>
      <c:catAx>
        <c:axId val="785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2463"/>
        <c:crosses val="autoZero"/>
        <c:auto val="1"/>
        <c:lblAlgn val="ctr"/>
        <c:lblOffset val="100"/>
        <c:noMultiLvlLbl val="0"/>
      </c:catAx>
      <c:valAx>
        <c:axId val="78592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[payroll_activity_tracker1 .xlsm]Pivot_Tables!PivotTable6</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Pivot_Tables!$L$25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D-4D47-9D95-56D2E291B9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D-4D47-9D95-56D2E291B98C}"/>
              </c:ext>
            </c:extLst>
          </c:dPt>
          <c:dPt>
            <c:idx val="2"/>
            <c:bubble3D val="0"/>
            <c:spPr>
              <a:solidFill>
                <a:schemeClr val="accent3"/>
              </a:solidFill>
              <a:ln w="19050">
                <a:solidFill>
                  <a:schemeClr val="lt1"/>
                </a:solidFill>
              </a:ln>
              <a:effectLst/>
            </c:spPr>
          </c:dPt>
          <c:cat>
            <c:strRef>
              <c:f>Pivot_Tables!$K$26:$K$29</c:f>
              <c:strCache>
                <c:ptCount val="3"/>
                <c:pt idx="0">
                  <c:v>Failed</c:v>
                </c:pt>
                <c:pt idx="1">
                  <c:v>Pending</c:v>
                </c:pt>
                <c:pt idx="2">
                  <c:v>Processed</c:v>
                </c:pt>
              </c:strCache>
            </c:strRef>
          </c:cat>
          <c:val>
            <c:numRef>
              <c:f>Pivot_Tables!$L$26:$L$29</c:f>
              <c:numCache>
                <c:formatCode>General</c:formatCode>
                <c:ptCount val="3"/>
                <c:pt idx="0">
                  <c:v>1</c:v>
                </c:pt>
                <c:pt idx="1">
                  <c:v>1</c:v>
                </c:pt>
                <c:pt idx="2">
                  <c:v>8</c:v>
                </c:pt>
              </c:numCache>
            </c:numRef>
          </c:val>
          <c:extLst>
            <c:ext xmlns:c16="http://schemas.microsoft.com/office/drawing/2014/chart" uri="{C3380CC4-5D6E-409C-BE32-E72D297353CC}">
              <c16:uniqueId val="{00000004-955D-4D47-9D95-56D2E291B9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[payroll_activity_tracker1 .xlsm]Pivot_Tables!PivotTable13</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Pivot_Tables!$K$4</c:f>
              <c:strCache>
                <c:ptCount val="1"/>
                <c:pt idx="0">
                  <c:v>Sum of Net_Pay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Pivot_Tables!$K$5:$K$13</c:f>
              <c:numCache>
                <c:formatCode>General</c:formatCode>
                <c:ptCount val="8"/>
                <c:pt idx="0">
                  <c:v>2863.65</c:v>
                </c:pt>
                <c:pt idx="1">
                  <c:v>6527.3125</c:v>
                </c:pt>
                <c:pt idx="2">
                  <c:v>3511.66</c:v>
                </c:pt>
                <c:pt idx="3">
                  <c:v>3843.2</c:v>
                </c:pt>
                <c:pt idx="4">
                  <c:v>3315.75</c:v>
                </c:pt>
                <c:pt idx="5">
                  <c:v>3079.7</c:v>
                </c:pt>
                <c:pt idx="6">
                  <c:v>2577.3199999999997</c:v>
                </c:pt>
                <c:pt idx="7">
                  <c:v>3541.8</c:v>
                </c:pt>
              </c:numCache>
            </c:numRef>
          </c:val>
          <c:smooth val="0"/>
          <c:extLst>
            <c:ext xmlns:c16="http://schemas.microsoft.com/office/drawing/2014/chart" uri="{C3380CC4-5D6E-409C-BE32-E72D297353CC}">
              <c16:uniqueId val="{00000000-8B72-4DCD-88A5-61BD478050D7}"/>
            </c:ext>
          </c:extLst>
        </c:ser>
        <c:ser>
          <c:idx val="1"/>
          <c:order val="1"/>
          <c:tx>
            <c:strRef>
              <c:f>Pivot_Tables!$L$4</c:f>
              <c:strCache>
                <c:ptCount val="1"/>
                <c:pt idx="0">
                  <c:v>Sum of Gross_Pay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spPr>
              <a:ln w="28575" cap="rnd">
                <a:solidFill>
                  <a:schemeClr val="accent2"/>
                </a:solidFill>
                <a:round/>
              </a:ln>
              <a:effectLst>
                <a:glow rad="127000">
                  <a:schemeClr val="bg1"/>
                </a:glow>
                <a:softEdge rad="0"/>
              </a:effectLst>
            </c:spPr>
          </c:dPt>
          <c:dPt>
            <c:idx val="6"/>
            <c:marker>
              <c:symbol val="circle"/>
              <c:size val="5"/>
              <c:spPr>
                <a:solidFill>
                  <a:schemeClr val="accent2"/>
                </a:solidFill>
                <a:ln w="9525">
                  <a:solidFill>
                    <a:schemeClr val="accent2"/>
                  </a:solidFill>
                </a:ln>
                <a:effectLst/>
              </c:spPr>
            </c:marker>
            <c:bubble3D val="0"/>
            <c:extLst>
              <c:ext xmlns:c16="http://schemas.microsoft.com/office/drawing/2014/chart" uri="{C3380CC4-5D6E-409C-BE32-E72D297353CC}">
                <c16:uniqueId val="{00000005-8B72-4DCD-88A5-61BD478050D7}"/>
              </c:ext>
            </c:extLst>
          </c:dPt>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Pivot_Tables!$L$5:$L$13</c:f>
              <c:numCache>
                <c:formatCode>General</c:formatCode>
                <c:ptCount val="8"/>
                <c:pt idx="0">
                  <c:v>3900</c:v>
                </c:pt>
                <c:pt idx="1">
                  <c:v>8875</c:v>
                </c:pt>
                <c:pt idx="2">
                  <c:v>4760</c:v>
                </c:pt>
                <c:pt idx="3">
                  <c:v>5200</c:v>
                </c:pt>
                <c:pt idx="4">
                  <c:v>4500</c:v>
                </c:pt>
                <c:pt idx="5">
                  <c:v>4200</c:v>
                </c:pt>
                <c:pt idx="6">
                  <c:v>3520</c:v>
                </c:pt>
                <c:pt idx="7">
                  <c:v>4800</c:v>
                </c:pt>
              </c:numCache>
            </c:numRef>
          </c:val>
          <c:smooth val="0"/>
          <c:extLst>
            <c:ext xmlns:c16="http://schemas.microsoft.com/office/drawing/2014/chart" uri="{C3380CC4-5D6E-409C-BE32-E72D297353CC}">
              <c16:uniqueId val="{00000001-8B72-4DCD-88A5-61BD478050D7}"/>
            </c:ext>
          </c:extLst>
        </c:ser>
        <c:dLbls>
          <c:showLegendKey val="0"/>
          <c:showVal val="0"/>
          <c:showCatName val="0"/>
          <c:showSerName val="0"/>
          <c:showPercent val="0"/>
          <c:showBubbleSize val="0"/>
        </c:dLbls>
        <c:marker val="1"/>
        <c:smooth val="0"/>
        <c:axId val="78591503"/>
        <c:axId val="78592463"/>
      </c:lineChart>
      <c:catAx>
        <c:axId val="785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2463"/>
        <c:crosses val="autoZero"/>
        <c:auto val="1"/>
        <c:lblAlgn val="ctr"/>
        <c:lblOffset val="100"/>
        <c:noMultiLvlLbl val="0"/>
      </c:catAx>
      <c:valAx>
        <c:axId val="78592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[payroll_activity_tracker1 .xlsm]Pivot_Tables!PivotTable6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Pivot_Tables!$L$25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Pivot_Tables!$K$26:$K$29</c:f>
              <c:strCache>
                <c:ptCount val="3"/>
                <c:pt idx="0">
                  <c:v>Failed</c:v>
                </c:pt>
                <c:pt idx="1">
                  <c:v>Pending</c:v>
                </c:pt>
                <c:pt idx="2">
                  <c:v>Processed</c:v>
                </c:pt>
              </c:strCache>
            </c:strRef>
          </c:cat>
          <c:val>
            <c:numRef>
              <c:f>Pivot_Tables!$L$26:$L$29</c:f>
              <c:numCache>
                <c:formatCode>General</c:formatCode>
                <c:ptCount val="3"/>
                <c:pt idx="0">
                  <c:v>1</c:v>
                </c:pt>
                <c:pt idx="1">
                  <c:v>1</c:v>
                </c:pt>
                <c:pt idx="2">
                  <c:v>8</c:v>
                </c:pt>
              </c:numCache>
            </c:numRef>
          </c:val>
          <c:extLst>
            <c:ext xmlns:c16="http://schemas.microsoft.com/office/drawing/2014/chart" uri="{C3380CC4-5D6E-409C-BE32-E72D297353CC}">
              <c16:uniqueId val="{00000000-0AB7-42BC-85A8-9D7784FFF4F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1050390</xdr:colOff>
      <xdr:row>5</xdr:row>
      <xdr:rowOff>151853</xdr:rowOff>
    </xdr:from>
    <xdr:to>
      <xdr:col>14</xdr:col>
      <xdr:colOff>373067</xdr:colOff>
      <xdr:row>10</xdr:row>
      <xdr:rowOff>138177</xdr:rowOff>
    </xdr:to>
    <xdr:sp macro="" textlink="">
      <xdr:nvSpPr>
        <xdr:cNvPr id="2" name="TextBox 1">
          <a:extLst>
            <a:ext uri="{FF2B5EF4-FFF2-40B4-BE49-F238E27FC236}">
              <a16:creationId xmlns:a16="http://schemas.microsoft.com/office/drawing/2014/main" id="{E826992D-1C26-ADA1-E12B-4870980E910D}"/>
            </a:ext>
            <a:ext uri="{147F2762-F138-4A5C-976F-8EAC2B608ADB}">
              <a16:predDERef xmlns:a16="http://schemas.microsoft.com/office/drawing/2014/main" pred="{DA1B19A6-33FD-8140-F3A3-BEB3D5A298BA}"/>
            </a:ext>
          </a:extLst>
        </xdr:cNvPr>
        <xdr:cNvSpPr txBox="1"/>
      </xdr:nvSpPr>
      <xdr:spPr>
        <a:xfrm>
          <a:off x="7795501" y="1069075"/>
          <a:ext cx="4473233" cy="903546"/>
        </a:xfrm>
        <a:prstGeom prst="roundRect">
          <a:avLst/>
        </a:prstGeom>
        <a:solidFill>
          <a:schemeClr val="tx2">
            <a:lumMod val="50000"/>
            <a:lumOff val="50000"/>
          </a:schemeClr>
        </a:solidFill>
        <a:ln w="9525" cmpd="sng">
          <a:noFill/>
        </a:ln>
      </xdr:spPr>
      <xdr:txBody>
        <a:bodyPr spcFirstLastPara="0" vertOverflow="clip" horzOverflow="clip" wrap="square" lIns="0" tIns="182880" rIns="822960" bIns="0" rtlCol="0" anchor="ctr" anchorCtr="1">
          <a:noAutofit/>
        </a:bodyPr>
        <a:lstStyle/>
        <a:p>
          <a:pPr marL="0" indent="0" algn="l"/>
          <a:r>
            <a:rPr lang="en-US" sz="1800" b="0" i="0" u="none" strike="noStrike">
              <a:solidFill>
                <a:srgbClr val="000000"/>
              </a:solidFill>
              <a:latin typeface="Aptos Narrow" panose="020B0004020202020204" pitchFamily="34" charset="0"/>
            </a:rPr>
            <a:t>                     Payroll Dashboard</a:t>
          </a:r>
        </a:p>
        <a:p>
          <a:pPr marL="0" indent="0" algn="l"/>
          <a:endParaRPr lang="en-US" sz="1800" b="0" i="0" u="none" strike="noStrike">
            <a:solidFill>
              <a:srgbClr val="000000"/>
            </a:solidFill>
            <a:latin typeface="Aptos Narrow" panose="020B0004020202020204" pitchFamily="34" charset="0"/>
          </a:endParaRPr>
        </a:p>
      </xdr:txBody>
    </xdr:sp>
    <xdr:clientData/>
  </xdr:twoCellAnchor>
  <xdr:twoCellAnchor>
    <xdr:from>
      <xdr:col>2</xdr:col>
      <xdr:colOff>97597</xdr:colOff>
      <xdr:row>34</xdr:row>
      <xdr:rowOff>25213</xdr:rowOff>
    </xdr:from>
    <xdr:to>
      <xdr:col>9</xdr:col>
      <xdr:colOff>107416</xdr:colOff>
      <xdr:row>48</xdr:row>
      <xdr:rowOff>169274</xdr:rowOff>
    </xdr:to>
    <xdr:graphicFrame macro="">
      <xdr:nvGraphicFramePr>
        <xdr:cNvPr id="13" name="Chart 12">
          <a:extLst>
            <a:ext uri="{FF2B5EF4-FFF2-40B4-BE49-F238E27FC236}">
              <a16:creationId xmlns:a16="http://schemas.microsoft.com/office/drawing/2014/main" id="{0E759812-DCCC-42DB-BCB0-23B4986EC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173232</xdr:colOff>
      <xdr:row>21</xdr:row>
      <xdr:rowOff>17222</xdr:rowOff>
    </xdr:from>
    <xdr:to>
      <xdr:col>7</xdr:col>
      <xdr:colOff>181042</xdr:colOff>
      <xdr:row>30</xdr:row>
      <xdr:rowOff>174409</xdr:rowOff>
    </xdr:to>
    <mc:AlternateContent xmlns:mc="http://schemas.openxmlformats.org/markup-compatibility/2006">
      <mc:Choice xmlns:a14="http://schemas.microsoft.com/office/drawing/2010/main" Requires="a14">
        <xdr:graphicFrame macro="">
          <xdr:nvGraphicFramePr>
            <xdr:cNvPr id="14" name="Department 2">
              <a:extLst>
                <a:ext uri="{FF2B5EF4-FFF2-40B4-BE49-F238E27FC236}">
                  <a16:creationId xmlns:a16="http://schemas.microsoft.com/office/drawing/2014/main" id="{8E8505B0-DAD9-4617-8AAB-7137CF04B3E9}"/>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dr:sp macro="" textlink="">
          <xdr:nvSpPr>
            <xdr:cNvPr id="0" name=""/>
            <xdr:cNvSpPr>
              <a:spLocks noTextEdit="1"/>
            </xdr:cNvSpPr>
          </xdr:nvSpPr>
          <xdr:spPr>
            <a:xfrm>
              <a:off x="2602797" y="4075700"/>
              <a:ext cx="1829984" cy="189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224515</xdr:colOff>
      <xdr:row>34</xdr:row>
      <xdr:rowOff>14737</xdr:rowOff>
    </xdr:from>
    <xdr:to>
      <xdr:col>20</xdr:col>
      <xdr:colOff>342735</xdr:colOff>
      <xdr:row>48</xdr:row>
      <xdr:rowOff>139260</xdr:rowOff>
    </xdr:to>
    <xdr:graphicFrame macro="">
      <xdr:nvGraphicFramePr>
        <xdr:cNvPr id="15" name="Chart 14">
          <a:extLst>
            <a:ext uri="{FF2B5EF4-FFF2-40B4-BE49-F238E27FC236}">
              <a16:creationId xmlns:a16="http://schemas.microsoft.com/office/drawing/2014/main" id="{7181FE7E-1FB5-444E-85F0-581F75FA2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466925</xdr:colOff>
      <xdr:row>15</xdr:row>
      <xdr:rowOff>175941</xdr:rowOff>
    </xdr:from>
    <xdr:to>
      <xdr:col>19</xdr:col>
      <xdr:colOff>30984</xdr:colOff>
      <xdr:row>30</xdr:row>
      <xdr:rowOff>1114</xdr:rowOff>
    </xdr:to>
    <mc:AlternateContent xmlns:mc="http://schemas.openxmlformats.org/markup-compatibility/2006">
      <mc:Choice xmlns:a14="http://schemas.microsoft.com/office/drawing/2010/main" Requires="a14">
        <xdr:graphicFrame macro="">
          <xdr:nvGraphicFramePr>
            <xdr:cNvPr id="16" name="Pay_Period_End 1">
              <a:extLst>
                <a:ext uri="{FF2B5EF4-FFF2-40B4-BE49-F238E27FC236}">
                  <a16:creationId xmlns:a16="http://schemas.microsoft.com/office/drawing/2014/main" id="{0A3EEB66-4904-4CDB-B98D-2D0A34203532}"/>
                </a:ext>
              </a:extLst>
            </xdr:cNvPr>
            <xdr:cNvGraphicFramePr/>
          </xdr:nvGraphicFramePr>
          <xdr:xfrm>
            <a:off x="0" y="0"/>
            <a:ext cx="0" cy="0"/>
          </xdr:xfrm>
          <a:graphic>
            <a:graphicData uri="http://schemas.microsoft.com/office/drawing/2010/slicer">
              <sle:slicer xmlns:sle="http://schemas.microsoft.com/office/drawing/2010/slicer" name="Pay_Period_End 1"/>
            </a:graphicData>
          </a:graphic>
        </xdr:graphicFrame>
      </mc:Choice>
      <mc:Fallback>
        <xdr:sp macro="" textlink="">
          <xdr:nvSpPr>
            <xdr:cNvPr id="0" name=""/>
            <xdr:cNvSpPr>
              <a:spLocks noTextEdit="1"/>
            </xdr:cNvSpPr>
          </xdr:nvSpPr>
          <xdr:spPr>
            <a:xfrm>
              <a:off x="15486055" y="3074854"/>
              <a:ext cx="1855581" cy="2724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1130422</xdr:colOff>
      <xdr:row>22</xdr:row>
      <xdr:rowOff>67394</xdr:rowOff>
    </xdr:from>
    <xdr:to>
      <xdr:col>13</xdr:col>
      <xdr:colOff>71367</xdr:colOff>
      <xdr:row>29</xdr:row>
      <xdr:rowOff>108409</xdr:rowOff>
    </xdr:to>
    <mc:AlternateContent xmlns:mc="http://schemas.openxmlformats.org/markup-compatibility/2006">
      <mc:Choice xmlns:a14="http://schemas.microsoft.com/office/drawing/2010/main" Requires="a14">
        <xdr:graphicFrame macro="">
          <xdr:nvGraphicFramePr>
            <xdr:cNvPr id="4" name="Payment_Status 1">
              <a:extLst>
                <a:ext uri="{FF2B5EF4-FFF2-40B4-BE49-F238E27FC236}">
                  <a16:creationId xmlns:a16="http://schemas.microsoft.com/office/drawing/2014/main" id="{C2139690-ED1A-401B-A2AD-3A78ABBBD1A4}"/>
                </a:ext>
              </a:extLst>
            </xdr:cNvPr>
            <xdr:cNvGraphicFramePr/>
          </xdr:nvGraphicFramePr>
          <xdr:xfrm>
            <a:off x="0" y="0"/>
            <a:ext cx="0" cy="0"/>
          </xdr:xfrm>
          <a:graphic>
            <a:graphicData uri="http://schemas.microsoft.com/office/drawing/2010/slicer">
              <sle:slicer xmlns:sle="http://schemas.microsoft.com/office/drawing/2010/slicer" name="Payment_Status 1"/>
            </a:graphicData>
          </a:graphic>
        </xdr:graphicFrame>
      </mc:Choice>
      <mc:Fallback>
        <xdr:sp macro="" textlink="">
          <xdr:nvSpPr>
            <xdr:cNvPr id="0" name=""/>
            <xdr:cNvSpPr>
              <a:spLocks noTextEdit="1"/>
            </xdr:cNvSpPr>
          </xdr:nvSpPr>
          <xdr:spPr>
            <a:xfrm>
              <a:off x="9026509" y="4319133"/>
              <a:ext cx="1839858" cy="139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763764</xdr:colOff>
      <xdr:row>34</xdr:row>
      <xdr:rowOff>100541</xdr:rowOff>
    </xdr:from>
    <xdr:to>
      <xdr:col>14</xdr:col>
      <xdr:colOff>192264</xdr:colOff>
      <xdr:row>48</xdr:row>
      <xdr:rowOff>169686</xdr:rowOff>
    </xdr:to>
    <xdr:graphicFrame macro="">
      <xdr:nvGraphicFramePr>
        <xdr:cNvPr id="6" name="Chart 5">
          <a:extLst>
            <a:ext uri="{FF2B5EF4-FFF2-40B4-BE49-F238E27FC236}">
              <a16:creationId xmlns:a16="http://schemas.microsoft.com/office/drawing/2014/main" id="{9FA37327-5716-4C87-BFCC-DC7D777DDE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23</xdr:col>
          <xdr:colOff>197712</xdr:colOff>
          <xdr:row>44</xdr:row>
          <xdr:rowOff>33083</xdr:rowOff>
        </xdr:from>
        <xdr:to>
          <xdr:col>24</xdr:col>
          <xdr:colOff>277205</xdr:colOff>
          <xdr:row>47</xdr:row>
          <xdr:rowOff>67498</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ptos Narrow"/>
                </a:rPr>
                <a:t>Button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714375</xdr:colOff>
      <xdr:row>13</xdr:row>
      <xdr:rowOff>127000</xdr:rowOff>
    </xdr:from>
    <xdr:to>
      <xdr:col>8</xdr:col>
      <xdr:colOff>530225</xdr:colOff>
      <xdr:row>28</xdr:row>
      <xdr:rowOff>107950</xdr:rowOff>
    </xdr:to>
    <xdr:graphicFrame macro="">
      <xdr:nvGraphicFramePr>
        <xdr:cNvPr id="4" name="Chart 3">
          <a:extLst>
            <a:ext uri="{FF2B5EF4-FFF2-40B4-BE49-F238E27FC236}">
              <a16:creationId xmlns:a16="http://schemas.microsoft.com/office/drawing/2014/main" id="{5CD5C9E4-C970-3573-0859-D18F414B61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509657</xdr:colOff>
      <xdr:row>4</xdr:row>
      <xdr:rowOff>25124</xdr:rowOff>
    </xdr:from>
    <xdr:to>
      <xdr:col>16</xdr:col>
      <xdr:colOff>509657</xdr:colOff>
      <xdr:row>18</xdr:row>
      <xdr:rowOff>66396</xdr:rowOff>
    </xdr:to>
    <mc:AlternateContent xmlns:mc="http://schemas.openxmlformats.org/markup-compatibility/2006">
      <mc:Choice xmlns:a14="http://schemas.microsoft.com/office/drawing/2010/main" Requires="a14">
        <xdr:graphicFrame macro="">
          <xdr:nvGraphicFramePr>
            <xdr:cNvPr id="5" name="Pay_Period_End">
              <a:extLst>
                <a:ext uri="{FF2B5EF4-FFF2-40B4-BE49-F238E27FC236}">
                  <a16:creationId xmlns:a16="http://schemas.microsoft.com/office/drawing/2014/main" id="{F97160BE-0682-AC36-11E6-C459AD30DCD9}"/>
                </a:ext>
              </a:extLst>
            </xdr:cNvPr>
            <xdr:cNvGraphicFramePr/>
          </xdr:nvGraphicFramePr>
          <xdr:xfrm>
            <a:off x="0" y="0"/>
            <a:ext cx="0" cy="0"/>
          </xdr:xfrm>
          <a:graphic>
            <a:graphicData uri="http://schemas.microsoft.com/office/drawing/2010/slicer">
              <sle:slicer xmlns:sle="http://schemas.microsoft.com/office/drawing/2010/slicer" name="Pay_Period_End"/>
            </a:graphicData>
          </a:graphic>
        </xdr:graphicFrame>
      </mc:Choice>
      <mc:Fallback>
        <xdr:sp macro="" textlink="">
          <xdr:nvSpPr>
            <xdr:cNvPr id="0" name=""/>
            <xdr:cNvSpPr>
              <a:spLocks noTextEdit="1"/>
            </xdr:cNvSpPr>
          </xdr:nvSpPr>
          <xdr:spPr>
            <a:xfrm>
              <a:off x="13761831" y="742950"/>
              <a:ext cx="1822174" cy="25536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472200</xdr:colOff>
      <xdr:row>24</xdr:row>
      <xdr:rowOff>28789</xdr:rowOff>
    </xdr:from>
    <xdr:to>
      <xdr:col>15</xdr:col>
      <xdr:colOff>478443</xdr:colOff>
      <xdr:row>31</xdr:row>
      <xdr:rowOff>20323</xdr:rowOff>
    </xdr:to>
    <mc:AlternateContent xmlns:mc="http://schemas.openxmlformats.org/markup-compatibility/2006">
      <mc:Choice xmlns:a14="http://schemas.microsoft.com/office/drawing/2010/main" Requires="a14">
        <xdr:graphicFrame macro="">
          <xdr:nvGraphicFramePr>
            <xdr:cNvPr id="3" name="Payment_Status">
              <a:extLst>
                <a:ext uri="{FF2B5EF4-FFF2-40B4-BE49-F238E27FC236}">
                  <a16:creationId xmlns:a16="http://schemas.microsoft.com/office/drawing/2014/main" id="{2C46A61D-62FF-6567-87F8-69D1FC507CF1}"/>
                </a:ext>
              </a:extLst>
            </xdr:cNvPr>
            <xdr:cNvGraphicFramePr/>
          </xdr:nvGraphicFramePr>
          <xdr:xfrm>
            <a:off x="0" y="0"/>
            <a:ext cx="0" cy="0"/>
          </xdr:xfrm>
          <a:graphic>
            <a:graphicData uri="http://schemas.microsoft.com/office/drawing/2010/slicer">
              <sle:slicer xmlns:sle="http://schemas.microsoft.com/office/drawing/2010/slicer" name="Payment_Status"/>
            </a:graphicData>
          </a:graphic>
        </xdr:graphicFrame>
      </mc:Choice>
      <mc:Fallback>
        <xdr:sp macro="" textlink="">
          <xdr:nvSpPr>
            <xdr:cNvPr id="0" name=""/>
            <xdr:cNvSpPr>
              <a:spLocks noTextEdit="1"/>
            </xdr:cNvSpPr>
          </xdr:nvSpPr>
          <xdr:spPr>
            <a:xfrm>
              <a:off x="13116983" y="4335746"/>
              <a:ext cx="1828417" cy="1247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247099</xdr:colOff>
      <xdr:row>31</xdr:row>
      <xdr:rowOff>119271</xdr:rowOff>
    </xdr:from>
    <xdr:to>
      <xdr:col>8</xdr:col>
      <xdr:colOff>111816</xdr:colOff>
      <xdr:row>46</xdr:row>
      <xdr:rowOff>170623</xdr:rowOff>
    </xdr:to>
    <xdr:graphicFrame macro="">
      <xdr:nvGraphicFramePr>
        <xdr:cNvPr id="6" name="Chart 5">
          <a:extLst>
            <a:ext uri="{FF2B5EF4-FFF2-40B4-BE49-F238E27FC236}">
              <a16:creationId xmlns:a16="http://schemas.microsoft.com/office/drawing/2014/main" id="{1001DFDF-5E8B-8A33-9504-0BB88A14D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vinch Primova" refreshedDate="45751.61018333333" createdVersion="8" refreshedVersion="8" minRefreshableVersion="3" recordCount="11" xr:uid="{FE4104C7-F672-417D-BE69-642953BBC535}">
  <cacheSource type="worksheet">
    <worksheetSource ref="A1:L1048576" sheet="Payroll_Log"/>
  </cacheSource>
  <cacheFields count="12">
    <cacheField name="Pay_ID" numFmtId="0">
      <sharedItems containsBlank="1"/>
    </cacheField>
    <cacheField name="Employee_ID" numFmtId="0">
      <sharedItems containsBlank="1"/>
    </cacheField>
    <cacheField name="Pay_Period_Start" numFmtId="14">
      <sharedItems containsNonDate="0" containsDate="1" containsString="0" containsBlank="1" minDate="2024-10-15T00:00:00" maxDate="2025-02-17T00:00:00"/>
    </cacheField>
    <cacheField name="Pay_Period_End" numFmtId="14">
      <sharedItems containsNonDate="0" containsDate="1" containsString="0" containsBlank="1" minDate="2024-11-15T00:00:00" maxDate="3025-03-04T00:00:00" count="10">
        <d v="3025-03-03T00:00:00"/>
        <d v="2025-02-28T00:00:00"/>
        <d v="2025-03-15T00:00:00"/>
        <d v="2025-03-06T00:00:00"/>
        <d v="2025-03-16T00:00:00"/>
        <d v="2024-12-07T00:00:00"/>
        <d v="2024-11-16T00:00:00"/>
        <d v="2024-12-08T00:00:00"/>
        <d v="2024-11-15T00:00:00"/>
        <m/>
      </sharedItems>
    </cacheField>
    <cacheField name="Hours_Worked" numFmtId="166">
      <sharedItems containsString="0" containsBlank="1" containsNumber="1" containsInteger="1" minValue="0" maxValue="170"/>
    </cacheField>
    <cacheField name="Gross_Pay" numFmtId="7">
      <sharedItems containsString="0" containsBlank="1" containsNumber="1" containsInteger="1" minValue="3360" maxValue="5200" count="11">
        <n v="4800"/>
        <n v="5200"/>
        <n v="4200"/>
        <n v="4500"/>
        <n v="3520"/>
        <n v="3875"/>
        <n v="3900"/>
        <n v="4760"/>
        <n v="3360"/>
        <n v="5000"/>
        <m/>
      </sharedItems>
    </cacheField>
    <cacheField name="Total_Deductions" numFmtId="7">
      <sharedItems containsString="0" containsBlank="1" containsNumber="1" minValue="243" maxValue="335"/>
    </cacheField>
    <cacheField name="Tax_Withheld" numFmtId="7">
      <sharedItems containsString="0" containsBlank="1" containsNumber="1" minValue="660.24" maxValue="1021.8000000000001"/>
    </cacheField>
    <cacheField name="Net_Pay" numFmtId="7">
      <sharedItems containsString="0" containsBlank="1" containsNumber="1" minValue="2456.7600000000002" maxValue="3843.2"/>
    </cacheField>
    <cacheField name="Payment_Status" numFmtId="0">
      <sharedItems containsBlank="1" count="4">
        <s v="Processed"/>
        <s v="Failed"/>
        <s v="Pending"/>
        <m/>
      </sharedItems>
    </cacheField>
    <cacheField name="Date_Processed" numFmtId="14">
      <sharedItems containsNonDate="0" containsDate="1" containsString="0" containsBlank="1" minDate="2024-11-17T00:00:00" maxDate="2025-03-19T00:00:00"/>
    </cacheField>
    <cacheField name="Department" numFmtId="0">
      <sharedItems containsBlank="1" count="6">
        <s v="HR"/>
        <s v="IT"/>
        <s v="Payroll"/>
        <s v="Finance"/>
        <s v="Marketing"/>
        <m/>
      </sharedItems>
    </cacheField>
  </cacheFields>
  <extLst>
    <ext xmlns:x14="http://schemas.microsoft.com/office/spreadsheetml/2009/9/main" uri="{725AE2AE-9491-48be-B2B4-4EB974FC3084}">
      <x14:pivotCacheDefinition pivotCacheId="1656159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P001"/>
    <s v="E001"/>
    <d v="2025-02-03T00:00:00"/>
    <x v="0"/>
    <n v="0"/>
    <x v="0"/>
    <n v="315"/>
    <n v="943.2"/>
    <n v="3541.8"/>
    <x v="0"/>
    <d v="2025-03-04T00:00:00"/>
    <x v="0"/>
  </r>
  <r>
    <s v="P002"/>
    <s v="E002"/>
    <d v="2025-01-28T00:00:00"/>
    <x v="1"/>
    <n v="0"/>
    <x v="1"/>
    <n v="335"/>
    <n v="1021.8000000000001"/>
    <n v="3843.2"/>
    <x v="1"/>
    <d v="2025-03-03T00:00:00"/>
    <x v="1"/>
  </r>
  <r>
    <s v="P003"/>
    <s v="E003"/>
    <d v="2025-02-15T00:00:00"/>
    <x v="2"/>
    <n v="140"/>
    <x v="2"/>
    <n v="295"/>
    <n v="825.30000000000007"/>
    <n v="3079.7"/>
    <x v="0"/>
    <d v="2025-03-17T00:00:00"/>
    <x v="2"/>
  </r>
  <r>
    <s v="P004"/>
    <s v="E004"/>
    <d v="2025-02-06T00:00:00"/>
    <x v="3"/>
    <n v="0"/>
    <x v="3"/>
    <n v="300"/>
    <n v="884.25"/>
    <n v="3315.75"/>
    <x v="0"/>
    <d v="2025-03-08T00:00:00"/>
    <x v="3"/>
  </r>
  <r>
    <s v="P005"/>
    <s v="E005"/>
    <d v="2025-02-16T00:00:00"/>
    <x v="4"/>
    <n v="160"/>
    <x v="4"/>
    <n v="251"/>
    <n v="691.68000000000006"/>
    <n v="2577.3199999999997"/>
    <x v="0"/>
    <d v="2025-03-18T00:00:00"/>
    <x v="2"/>
  </r>
  <r>
    <s v="P006"/>
    <s v="E006"/>
    <d v="2024-11-07T00:00:00"/>
    <x v="5"/>
    <n v="155"/>
    <x v="5"/>
    <n v="268.75"/>
    <n v="761.4375"/>
    <n v="2844.8125"/>
    <x v="2"/>
    <d v="2024-12-10T00:00:00"/>
    <x v="4"/>
  </r>
  <r>
    <s v="P007"/>
    <s v="E007"/>
    <d v="2024-10-16T00:00:00"/>
    <x v="6"/>
    <n v="0"/>
    <x v="6"/>
    <n v="270"/>
    <n v="766.35"/>
    <n v="2863.65"/>
    <x v="0"/>
    <d v="2024-11-18T00:00:00"/>
    <x v="3"/>
  </r>
  <r>
    <s v="P008"/>
    <s v="E008"/>
    <d v="2024-11-08T00:00:00"/>
    <x v="7"/>
    <n v="170"/>
    <x v="7"/>
    <n v="313"/>
    <n v="935.34"/>
    <n v="3511.66"/>
    <x v="0"/>
    <d v="2024-12-10T00:00:00"/>
    <x v="1"/>
  </r>
  <r>
    <s v="P009"/>
    <s v="E009"/>
    <d v="2024-10-15T00:00:00"/>
    <x v="8"/>
    <n v="168"/>
    <x v="8"/>
    <n v="243"/>
    <n v="660.24"/>
    <n v="2456.7600000000002"/>
    <x v="0"/>
    <d v="2024-11-17T00:00:00"/>
    <x v="0"/>
  </r>
  <r>
    <s v="P010"/>
    <s v="E010"/>
    <d v="2024-11-07T00:00:00"/>
    <x v="5"/>
    <n v="0"/>
    <x v="9"/>
    <n v="335"/>
    <n v="982.5"/>
    <n v="3682.5"/>
    <x v="0"/>
    <d v="2024-12-09T00:00:00"/>
    <x v="2"/>
  </r>
  <r>
    <m/>
    <m/>
    <m/>
    <x v="9"/>
    <m/>
    <x v="10"/>
    <m/>
    <m/>
    <m/>
    <x v="3"/>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D3B4FE-B937-459A-929A-0145CBB8C862}"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K25:L29" firstHeaderRow="1" firstDataRow="1" firstDataCol="1"/>
  <pivotFields count="12">
    <pivotField showAll="0"/>
    <pivotField showAll="0"/>
    <pivotField showAll="0"/>
    <pivotField showAll="0"/>
    <pivotField showAll="0"/>
    <pivotField showAll="0"/>
    <pivotField showAll="0"/>
    <pivotField showAll="0"/>
    <pivotField showAll="0"/>
    <pivotField axis="axisRow" dataField="1" showAll="0">
      <items count="5">
        <item x="1"/>
        <item x="2"/>
        <item x="0"/>
        <item h="1" x="3"/>
        <item t="default"/>
      </items>
    </pivotField>
    <pivotField showAll="0"/>
    <pivotField showAll="0"/>
  </pivotFields>
  <rowFields count="1">
    <field x="9"/>
  </rowFields>
  <rowItems count="4">
    <i>
      <x/>
    </i>
    <i>
      <x v="1"/>
    </i>
    <i>
      <x v="2"/>
    </i>
    <i t="grand">
      <x/>
    </i>
  </rowItems>
  <colItems count="1">
    <i/>
  </colItems>
  <dataFields count="1">
    <dataField name="Count of Payment_Status" fld="9" subtotal="count" baseField="0" baseItem="0"/>
  </dataFields>
  <chartFormats count="6">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9" count="1" selected="0">
            <x v="0"/>
          </reference>
        </references>
      </pivotArea>
    </chartFormat>
    <chartFormat chart="7" format="6">
      <pivotArea type="data" outline="0" fieldPosition="0">
        <references count="2">
          <reference field="4294967294" count="1" selected="0">
            <x v="0"/>
          </reference>
          <reference field="9"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E9794D-2729-4DB8-BAD9-1690ADF8EF84}"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4:L13" firstHeaderRow="0" firstDataRow="1" firstDataCol="1"/>
  <pivotFields count="12">
    <pivotField showAll="0"/>
    <pivotField showAll="0"/>
    <pivotField showAll="0"/>
    <pivotField axis="axisRow" showAll="0">
      <items count="11">
        <item h="1" x="8"/>
        <item x="6"/>
        <item x="5"/>
        <item x="7"/>
        <item x="1"/>
        <item x="3"/>
        <item x="2"/>
        <item x="4"/>
        <item x="0"/>
        <item h="1" x="9"/>
        <item t="default"/>
      </items>
    </pivotField>
    <pivotField showAll="0"/>
    <pivotField dataField="1" showAll="0">
      <items count="12">
        <item x="8"/>
        <item x="4"/>
        <item x="5"/>
        <item x="6"/>
        <item x="2"/>
        <item x="3"/>
        <item x="7"/>
        <item x="0"/>
        <item x="9"/>
        <item x="1"/>
        <item x="10"/>
        <item t="default"/>
      </items>
    </pivotField>
    <pivotField showAll="0"/>
    <pivotField showAll="0"/>
    <pivotField dataField="1" showAll="0"/>
    <pivotField showAll="0"/>
    <pivotField showAll="0"/>
    <pivotField showAll="0"/>
  </pivotFields>
  <rowFields count="1">
    <field x="3"/>
  </rowFields>
  <rowItems count="9">
    <i>
      <x v="1"/>
    </i>
    <i>
      <x v="2"/>
    </i>
    <i>
      <x v="3"/>
    </i>
    <i>
      <x v="4"/>
    </i>
    <i>
      <x v="5"/>
    </i>
    <i>
      <x v="6"/>
    </i>
    <i>
      <x v="7"/>
    </i>
    <i>
      <x v="8"/>
    </i>
    <i t="grand">
      <x/>
    </i>
  </rowItems>
  <colFields count="1">
    <field x="-2"/>
  </colFields>
  <colItems count="2">
    <i>
      <x/>
    </i>
    <i i="1">
      <x v="1"/>
    </i>
  </colItems>
  <dataFields count="2">
    <dataField name="Sum of Net_Pay" fld="8" baseField="0" baseItem="0"/>
    <dataField name="Sum of Gross_Pay" fld="5"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3" count="1" selected="0">
            <x v="6"/>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pivotArea type="data" outline="0" fieldPosition="0">
        <references count="2">
          <reference field="4294967294" count="1" selected="0">
            <x v="1"/>
          </reference>
          <reference field="3"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22DD4E-4E77-4214-A94A-DB0B884FD2FF}" name="PivotTable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C4:E10" firstHeaderRow="0" firstDataRow="1" firstDataCol="1"/>
  <pivotFields count="12">
    <pivotField showAll="0"/>
    <pivotField showAll="0"/>
    <pivotField showAll="0"/>
    <pivotField showAll="0"/>
    <pivotField showAll="0"/>
    <pivotField dataField="1" showAll="0"/>
    <pivotField showAll="0"/>
    <pivotField showAll="0"/>
    <pivotField dataField="1" showAll="0"/>
    <pivotField showAll="0"/>
    <pivotField showAll="0"/>
    <pivotField axis="axisRow" showAll="0">
      <items count="7">
        <item x="3"/>
        <item x="0"/>
        <item x="1"/>
        <item x="4"/>
        <item x="2"/>
        <item h="1" x="5"/>
        <item t="default"/>
      </items>
    </pivotField>
  </pivotFields>
  <rowFields count="1">
    <field x="11"/>
  </rowFields>
  <rowItems count="6">
    <i>
      <x/>
    </i>
    <i>
      <x v="1"/>
    </i>
    <i>
      <x v="2"/>
    </i>
    <i>
      <x v="3"/>
    </i>
    <i>
      <x v="4"/>
    </i>
    <i t="grand">
      <x/>
    </i>
  </rowItems>
  <colFields count="1">
    <field x="-2"/>
  </colFields>
  <colItems count="2">
    <i>
      <x/>
    </i>
    <i i="1">
      <x v="1"/>
    </i>
  </colItems>
  <dataFields count="2">
    <dataField name="Sum of Gross_Pay" fld="5" baseField="0" baseItem="0"/>
    <dataField name="Sum of Net_Pay" fld="8" baseField="0" baseItem="0"/>
  </dataFields>
  <chartFormats count="4">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37BAD2B-1B3F-45DF-89D8-08C469225D86}" sourceName="Department">
  <pivotTables>
    <pivotTable tabId="25" name="PivotTable10"/>
  </pivotTables>
  <data>
    <tabular pivotCacheId="1656159490">
      <items count="6">
        <i x="3" s="1"/>
        <i x="0" s="1"/>
        <i x="1" s="1"/>
        <i x="4" s="1"/>
        <i x="2" s="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_Period_End" xr10:uid="{6DD5089C-E7C7-4B9C-8C6A-B4A81F53A528}" sourceName="Pay_Period_End">
  <pivotTables>
    <pivotTable tabId="25" name="PivotTable13"/>
  </pivotTables>
  <data>
    <tabular pivotCacheId="1656159490">
      <items count="10">
        <i x="8"/>
        <i x="6" s="1"/>
        <i x="5" s="1"/>
        <i x="7" s="1"/>
        <i x="1" s="1"/>
        <i x="3" s="1"/>
        <i x="2" s="1"/>
        <i x="4" s="1"/>
        <i x="0" s="1"/>
        <i x="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DEC98ABE-3B44-4C1B-A458-BB8025763691}" sourceName="Payment_Status">
  <pivotTables>
    <pivotTable tabId="25" name="PivotTable6"/>
  </pivotTables>
  <data>
    <tabular pivotCacheId="1656159490">
      <items count="4">
        <i x="1" s="1"/>
        <i x="2" s="1"/>
        <i x="0" s="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416A8425-E793-4E5C-A812-541CDF725AF5}" cache="Slicer_Department" caption="Departments" rowHeight="251883"/>
  <slicer name="Pay_Period_End 1" xr10:uid="{D2CA5740-BFE7-4FDA-8224-5FD470AF34DF}" cache="Slicer_Pay_Period_End" caption="Pay_Period_End" startItem="1" rowHeight="251883"/>
  <slicer name="Payment_Status 1" xr10:uid="{4ACFE183-B6B2-4A5E-98BF-E14BA3622C8F}" cache="Slicer_Payment_Status" caption="Payment_Status"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_Period_End" xr10:uid="{E22E54E4-D677-42B8-AAC6-4BEC479FE500}" cache="Slicer_Pay_Period_End" caption="Pay_Period_End" rowHeight="251883"/>
  <slicer name="Payment_Status" xr10:uid="{5B77BD71-D903-43C3-9128-E05BB1C93482}" cache="Slicer_Payment_Status" caption="Payment_Statu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D9E44C-D5D4-4684-893D-6FAD4410F351}" name="EmployeeTable" displayName="EmployeeTable" ref="A1:I100" totalsRowShown="0">
  <autoFilter ref="A1:I100" xr:uid="{85D9E44C-D5D4-4684-893D-6FAD4410F351}"/>
  <tableColumns count="9">
    <tableColumn id="1" xr3:uid="{15D1FE3F-6D4B-43E5-B814-A3386D7AC3D4}" name="Employee_ID"/>
    <tableColumn id="2" xr3:uid="{AEE8A9DA-C502-434C-BBED-54E25245F678}" name="Full_Name"/>
    <tableColumn id="3" xr3:uid="{D7C3A0D9-46F7-49E2-A76A-3C39432D8791}" name="Department"/>
    <tableColumn id="4" xr3:uid="{B4DBE38F-CA6A-46A5-80DC-C5BD976EF96F}" name="Position " dataDxfId="1"/>
    <tableColumn id="5" xr3:uid="{F1B84A0A-85FA-409A-AAB2-F64C204D965D}" name="Hire_Date"/>
    <tableColumn id="6" xr3:uid="{DED84E71-9467-402E-9443-475A79EA8D52}" name="Pay_Type" dataDxfId="0"/>
    <tableColumn id="7" xr3:uid="{07228F08-E297-40B6-8796-46172B02D94A}" name="Pay_Rate"/>
    <tableColumn id="8" xr3:uid="{6F45152F-C29E-458E-80F1-F3006DA31BF4}" name="Bank_Account"/>
    <tableColumn id="9" xr3:uid="{8261A769-4156-4FF9-A155-E80E3218FC6A}" name="Active_Statu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99"/>
  <sheetViews>
    <sheetView workbookViewId="0">
      <selection sqref="A1:I1048576"/>
    </sheetView>
  </sheetViews>
  <sheetFormatPr defaultRowHeight="14.5" x14ac:dyDescent="0.35"/>
  <cols>
    <col min="1" max="1" width="14.7265625" bestFit="1" customWidth="1"/>
    <col min="2" max="2" width="13" bestFit="1" customWidth="1"/>
    <col min="3" max="3" width="13.81640625" bestFit="1" customWidth="1"/>
    <col min="4" max="4" width="15.453125" bestFit="1" customWidth="1"/>
    <col min="5" max="5" width="12" style="1" bestFit="1" customWidth="1"/>
    <col min="6" max="6" width="11.26953125" bestFit="1" customWidth="1"/>
    <col min="7" max="7" width="11.26953125" style="3" bestFit="1" customWidth="1"/>
    <col min="8" max="8" width="15.81640625" bestFit="1" customWidth="1"/>
    <col min="9" max="9" width="15.26953125" bestFit="1" customWidth="1"/>
  </cols>
  <sheetData>
    <row r="1" spans="1:9" x14ac:dyDescent="0.35">
      <c r="A1" t="s">
        <v>0</v>
      </c>
      <c r="B1" t="s">
        <v>1</v>
      </c>
      <c r="C1" t="s">
        <v>2</v>
      </c>
      <c r="D1" t="s">
        <v>3</v>
      </c>
      <c r="E1" s="1" t="s">
        <v>4</v>
      </c>
      <c r="F1" s="3" t="s">
        <v>5</v>
      </c>
      <c r="G1" s="3" t="s">
        <v>6</v>
      </c>
      <c r="H1" t="s">
        <v>7</v>
      </c>
      <c r="I1" t="s">
        <v>8</v>
      </c>
    </row>
    <row r="2" spans="1:9" x14ac:dyDescent="0.35">
      <c r="A2" t="s">
        <v>9</v>
      </c>
      <c r="B2" t="s">
        <v>10</v>
      </c>
      <c r="C2" t="s">
        <v>11</v>
      </c>
      <c r="D2" t="s">
        <v>12</v>
      </c>
      <c r="E2" s="1">
        <v>44571</v>
      </c>
      <c r="F2" t="s">
        <v>13</v>
      </c>
      <c r="G2">
        <v>4800</v>
      </c>
      <c r="H2" t="s">
        <v>14</v>
      </c>
      <c r="I2" t="s">
        <v>15</v>
      </c>
    </row>
    <row r="3" spans="1:9" x14ac:dyDescent="0.35">
      <c r="A3" t="s">
        <v>16</v>
      </c>
      <c r="B3" t="s">
        <v>17</v>
      </c>
      <c r="C3" t="s">
        <v>18</v>
      </c>
      <c r="D3" t="s">
        <v>19</v>
      </c>
      <c r="E3" s="1">
        <v>44260</v>
      </c>
      <c r="F3" t="s">
        <v>13</v>
      </c>
      <c r="G3">
        <v>5200</v>
      </c>
      <c r="H3" t="s">
        <v>20</v>
      </c>
      <c r="I3" t="s">
        <v>15</v>
      </c>
    </row>
    <row r="4" spans="1:9" x14ac:dyDescent="0.35">
      <c r="A4" t="s">
        <v>21</v>
      </c>
      <c r="B4" t="s">
        <v>22</v>
      </c>
      <c r="C4" t="s">
        <v>23</v>
      </c>
      <c r="D4" t="s">
        <v>24</v>
      </c>
      <c r="E4" s="1">
        <v>44727</v>
      </c>
      <c r="F4" t="s">
        <v>25</v>
      </c>
      <c r="G4">
        <v>30</v>
      </c>
      <c r="H4" t="s">
        <v>26</v>
      </c>
      <c r="I4" t="s">
        <v>15</v>
      </c>
    </row>
    <row r="5" spans="1:9" x14ac:dyDescent="0.35">
      <c r="A5" t="s">
        <v>27</v>
      </c>
      <c r="B5" t="s">
        <v>28</v>
      </c>
      <c r="C5" t="s">
        <v>29</v>
      </c>
      <c r="D5" t="s">
        <v>30</v>
      </c>
      <c r="E5" s="1">
        <v>45170</v>
      </c>
      <c r="F5" t="s">
        <v>13</v>
      </c>
      <c r="G5">
        <v>4500</v>
      </c>
      <c r="H5" t="s">
        <v>31</v>
      </c>
      <c r="I5" t="s">
        <v>15</v>
      </c>
    </row>
    <row r="6" spans="1:9" x14ac:dyDescent="0.35">
      <c r="A6" t="s">
        <v>32</v>
      </c>
      <c r="B6" t="s">
        <v>33</v>
      </c>
      <c r="C6" t="s">
        <v>23</v>
      </c>
      <c r="D6" t="s">
        <v>34</v>
      </c>
      <c r="E6" s="1">
        <v>44977</v>
      </c>
      <c r="F6" t="s">
        <v>25</v>
      </c>
      <c r="G6">
        <v>22</v>
      </c>
      <c r="H6" t="s">
        <v>35</v>
      </c>
      <c r="I6" t="s">
        <v>15</v>
      </c>
    </row>
    <row r="7" spans="1:9" x14ac:dyDescent="0.35">
      <c r="A7" t="s">
        <v>36</v>
      </c>
      <c r="B7" t="s">
        <v>37</v>
      </c>
      <c r="C7" t="s">
        <v>38</v>
      </c>
      <c r="D7" t="s">
        <v>39</v>
      </c>
      <c r="E7" s="1">
        <v>44419</v>
      </c>
      <c r="F7" t="s">
        <v>25</v>
      </c>
      <c r="G7">
        <v>25</v>
      </c>
      <c r="H7" t="s">
        <v>40</v>
      </c>
      <c r="I7" t="s">
        <v>15</v>
      </c>
    </row>
    <row r="8" spans="1:9" x14ac:dyDescent="0.35">
      <c r="A8" t="s">
        <v>41</v>
      </c>
      <c r="B8" t="s">
        <v>42</v>
      </c>
      <c r="C8" t="s">
        <v>29</v>
      </c>
      <c r="D8" t="s">
        <v>43</v>
      </c>
      <c r="E8" s="1">
        <v>45261</v>
      </c>
      <c r="F8" t="s">
        <v>13</v>
      </c>
      <c r="G8">
        <v>3900</v>
      </c>
      <c r="H8" t="s">
        <v>44</v>
      </c>
      <c r="I8" t="s">
        <v>15</v>
      </c>
    </row>
    <row r="9" spans="1:9" x14ac:dyDescent="0.35">
      <c r="A9" t="s">
        <v>45</v>
      </c>
      <c r="B9" t="s">
        <v>46</v>
      </c>
      <c r="C9" t="s">
        <v>18</v>
      </c>
      <c r="D9" t="s">
        <v>47</v>
      </c>
      <c r="E9" s="1">
        <v>44684</v>
      </c>
      <c r="F9" t="s">
        <v>25</v>
      </c>
      <c r="G9">
        <v>28</v>
      </c>
      <c r="H9" t="s">
        <v>48</v>
      </c>
      <c r="I9" t="s">
        <v>15</v>
      </c>
    </row>
    <row r="10" spans="1:9" x14ac:dyDescent="0.35">
      <c r="A10" t="s">
        <v>49</v>
      </c>
      <c r="B10" t="s">
        <v>50</v>
      </c>
      <c r="C10" t="s">
        <v>11</v>
      </c>
      <c r="D10" t="s">
        <v>51</v>
      </c>
      <c r="E10" s="1">
        <v>45024</v>
      </c>
      <c r="F10" t="s">
        <v>25</v>
      </c>
      <c r="G10">
        <v>20</v>
      </c>
      <c r="H10" t="s">
        <v>52</v>
      </c>
      <c r="I10" t="s">
        <v>15</v>
      </c>
    </row>
    <row r="11" spans="1:9" x14ac:dyDescent="0.35">
      <c r="A11" t="s">
        <v>53</v>
      </c>
      <c r="B11" t="s">
        <v>54</v>
      </c>
      <c r="C11" t="s">
        <v>23</v>
      </c>
      <c r="D11" t="s">
        <v>55</v>
      </c>
      <c r="E11" s="1">
        <v>44880</v>
      </c>
      <c r="F11" t="s">
        <v>13</v>
      </c>
      <c r="G11">
        <v>5000</v>
      </c>
      <c r="H11" t="s">
        <v>56</v>
      </c>
      <c r="I11" t="s">
        <v>15</v>
      </c>
    </row>
    <row r="12" spans="1:9" x14ac:dyDescent="0.35">
      <c r="D12" s="1"/>
      <c r="E12"/>
      <c r="F12" s="2"/>
      <c r="G12"/>
    </row>
    <row r="13" spans="1:9" x14ac:dyDescent="0.35">
      <c r="D13" s="1"/>
      <c r="E13"/>
      <c r="F13" s="2"/>
      <c r="G13"/>
    </row>
    <row r="14" spans="1:9" x14ac:dyDescent="0.35">
      <c r="D14" s="1"/>
      <c r="E14"/>
      <c r="F14" s="2"/>
      <c r="G14"/>
    </row>
    <row r="15" spans="1:9" x14ac:dyDescent="0.35">
      <c r="D15" s="1"/>
      <c r="E15"/>
      <c r="F15" s="2"/>
      <c r="G15"/>
    </row>
    <row r="16" spans="1:9" x14ac:dyDescent="0.35">
      <c r="D16" s="1"/>
      <c r="E16"/>
      <c r="F16" s="2"/>
      <c r="G16"/>
    </row>
    <row r="17" spans="4:7" x14ac:dyDescent="0.35">
      <c r="D17" s="1"/>
      <c r="E17"/>
      <c r="F17" s="3"/>
      <c r="G17"/>
    </row>
    <row r="18" spans="4:7" x14ac:dyDescent="0.35">
      <c r="D18" s="1"/>
      <c r="E18"/>
      <c r="F18" s="3"/>
      <c r="G18"/>
    </row>
    <row r="19" spans="4:7" x14ac:dyDescent="0.35">
      <c r="D19" s="1"/>
      <c r="E19"/>
      <c r="F19" s="3"/>
      <c r="G19"/>
    </row>
    <row r="20" spans="4:7" x14ac:dyDescent="0.35">
      <c r="D20" s="1"/>
      <c r="E20"/>
      <c r="F20" s="3"/>
      <c r="G20"/>
    </row>
    <row r="21" spans="4:7" x14ac:dyDescent="0.35">
      <c r="D21" s="1"/>
      <c r="E21"/>
      <c r="F21" s="3"/>
      <c r="G21"/>
    </row>
    <row r="22" spans="4:7" x14ac:dyDescent="0.35">
      <c r="D22" s="1"/>
      <c r="E22"/>
      <c r="F22" s="3"/>
      <c r="G22"/>
    </row>
    <row r="23" spans="4:7" x14ac:dyDescent="0.35">
      <c r="D23" s="1"/>
      <c r="E23"/>
      <c r="F23" s="3"/>
      <c r="G23"/>
    </row>
    <row r="24" spans="4:7" x14ac:dyDescent="0.35">
      <c r="D24" s="1"/>
      <c r="E24"/>
      <c r="F24" s="3"/>
      <c r="G24"/>
    </row>
    <row r="25" spans="4:7" x14ac:dyDescent="0.35">
      <c r="D25" s="1"/>
      <c r="E25"/>
      <c r="F25" s="3"/>
      <c r="G25"/>
    </row>
    <row r="26" spans="4:7" x14ac:dyDescent="0.35">
      <c r="D26" s="1"/>
      <c r="E26"/>
      <c r="F26" s="3"/>
      <c r="G26"/>
    </row>
    <row r="27" spans="4:7" x14ac:dyDescent="0.35">
      <c r="D27" s="1"/>
      <c r="E27"/>
      <c r="F27" s="3"/>
      <c r="G27"/>
    </row>
    <row r="28" spans="4:7" x14ac:dyDescent="0.35">
      <c r="D28" s="1"/>
      <c r="E28"/>
      <c r="F28" s="3"/>
      <c r="G28"/>
    </row>
    <row r="29" spans="4:7" x14ac:dyDescent="0.35">
      <c r="D29" s="1"/>
      <c r="E29"/>
      <c r="F29" s="3"/>
      <c r="G29"/>
    </row>
    <row r="30" spans="4:7" x14ac:dyDescent="0.35">
      <c r="D30" s="1"/>
      <c r="E30"/>
      <c r="F30" s="3"/>
      <c r="G30"/>
    </row>
    <row r="31" spans="4:7" x14ac:dyDescent="0.35">
      <c r="D31" s="1"/>
      <c r="E31"/>
      <c r="F31" s="3"/>
      <c r="G31"/>
    </row>
    <row r="32" spans="4:7" x14ac:dyDescent="0.35">
      <c r="D32" s="1"/>
      <c r="E32"/>
      <c r="F32" s="3"/>
      <c r="G32"/>
    </row>
    <row r="33" spans="4:7" x14ac:dyDescent="0.35">
      <c r="D33" s="1"/>
      <c r="E33"/>
      <c r="F33" s="3"/>
      <c r="G33"/>
    </row>
    <row r="34" spans="4:7" x14ac:dyDescent="0.35">
      <c r="D34" s="1"/>
      <c r="E34"/>
      <c r="F34" s="3"/>
      <c r="G34"/>
    </row>
    <row r="35" spans="4:7" x14ac:dyDescent="0.35">
      <c r="D35" s="1"/>
      <c r="E35"/>
      <c r="F35" s="3"/>
      <c r="G35"/>
    </row>
    <row r="36" spans="4:7" x14ac:dyDescent="0.35">
      <c r="D36" s="1"/>
      <c r="E36"/>
      <c r="F36" s="3"/>
      <c r="G36"/>
    </row>
    <row r="37" spans="4:7" x14ac:dyDescent="0.35">
      <c r="D37" s="1"/>
      <c r="E37"/>
      <c r="F37" s="3"/>
      <c r="G37"/>
    </row>
    <row r="38" spans="4:7" x14ac:dyDescent="0.35">
      <c r="D38" s="1"/>
      <c r="E38"/>
      <c r="F38" s="3"/>
      <c r="G38"/>
    </row>
    <row r="39" spans="4:7" x14ac:dyDescent="0.35">
      <c r="D39" s="1"/>
      <c r="E39"/>
      <c r="F39" s="3"/>
      <c r="G39"/>
    </row>
    <row r="40" spans="4:7" x14ac:dyDescent="0.35">
      <c r="D40" s="1"/>
      <c r="E40"/>
      <c r="F40" s="3"/>
      <c r="G40"/>
    </row>
    <row r="41" spans="4:7" x14ac:dyDescent="0.35">
      <c r="D41" s="1"/>
      <c r="E41"/>
      <c r="F41" s="3"/>
      <c r="G41"/>
    </row>
    <row r="42" spans="4:7" x14ac:dyDescent="0.35">
      <c r="D42" s="1"/>
      <c r="E42"/>
      <c r="F42" s="3"/>
      <c r="G42"/>
    </row>
    <row r="43" spans="4:7" x14ac:dyDescent="0.35">
      <c r="D43" s="1"/>
      <c r="E43"/>
      <c r="F43" s="3"/>
      <c r="G43"/>
    </row>
    <row r="44" spans="4:7" x14ac:dyDescent="0.35">
      <c r="D44" s="1"/>
      <c r="E44"/>
      <c r="F44" s="3"/>
      <c r="G44"/>
    </row>
    <row r="45" spans="4:7" x14ac:dyDescent="0.35">
      <c r="D45" s="1"/>
      <c r="E45"/>
      <c r="F45" s="3"/>
      <c r="G45"/>
    </row>
    <row r="46" spans="4:7" x14ac:dyDescent="0.35">
      <c r="D46" s="1"/>
      <c r="E46"/>
      <c r="F46" s="3"/>
      <c r="G46"/>
    </row>
    <row r="47" spans="4:7" x14ac:dyDescent="0.35">
      <c r="D47" s="1"/>
      <c r="E47"/>
      <c r="F47" s="3"/>
      <c r="G47"/>
    </row>
    <row r="48" spans="4:7" x14ac:dyDescent="0.35">
      <c r="D48" s="1"/>
      <c r="E48"/>
      <c r="F48" s="3"/>
      <c r="G48"/>
    </row>
    <row r="49" spans="4:7" x14ac:dyDescent="0.35">
      <c r="D49" s="1"/>
      <c r="E49"/>
      <c r="F49" s="3"/>
      <c r="G49"/>
    </row>
    <row r="50" spans="4:7" x14ac:dyDescent="0.35">
      <c r="D50" s="1"/>
      <c r="E50"/>
      <c r="F50" s="3"/>
      <c r="G50"/>
    </row>
    <row r="51" spans="4:7" x14ac:dyDescent="0.35">
      <c r="D51" s="1"/>
      <c r="E51"/>
      <c r="F51" s="3"/>
      <c r="G51"/>
    </row>
    <row r="52" spans="4:7" x14ac:dyDescent="0.35">
      <c r="D52" s="1"/>
      <c r="E52"/>
      <c r="F52" s="3"/>
      <c r="G52"/>
    </row>
    <row r="53" spans="4:7" x14ac:dyDescent="0.35">
      <c r="D53" s="1"/>
      <c r="E53"/>
      <c r="F53" s="3"/>
      <c r="G53"/>
    </row>
    <row r="54" spans="4:7" x14ac:dyDescent="0.35">
      <c r="D54" s="1"/>
      <c r="E54"/>
      <c r="F54" s="3"/>
      <c r="G54"/>
    </row>
    <row r="55" spans="4:7" x14ac:dyDescent="0.35">
      <c r="D55" s="1"/>
      <c r="E55"/>
      <c r="F55" s="3"/>
      <c r="G55"/>
    </row>
    <row r="56" spans="4:7" x14ac:dyDescent="0.35">
      <c r="D56" s="1"/>
      <c r="E56"/>
      <c r="F56" s="3"/>
      <c r="G56"/>
    </row>
    <row r="57" spans="4:7" x14ac:dyDescent="0.35">
      <c r="D57" s="1"/>
      <c r="E57"/>
      <c r="F57" s="3"/>
      <c r="G57"/>
    </row>
    <row r="58" spans="4:7" x14ac:dyDescent="0.35">
      <c r="D58" s="1"/>
      <c r="E58"/>
      <c r="F58" s="3"/>
      <c r="G58"/>
    </row>
    <row r="59" spans="4:7" x14ac:dyDescent="0.35">
      <c r="D59" s="1"/>
      <c r="E59"/>
      <c r="F59" s="3"/>
      <c r="G59"/>
    </row>
    <row r="60" spans="4:7" x14ac:dyDescent="0.35">
      <c r="D60" s="1"/>
      <c r="E60"/>
      <c r="F60" s="3"/>
      <c r="G60"/>
    </row>
    <row r="61" spans="4:7" x14ac:dyDescent="0.35">
      <c r="D61" s="1"/>
      <c r="E61"/>
      <c r="F61" s="3"/>
      <c r="G61"/>
    </row>
    <row r="62" spans="4:7" x14ac:dyDescent="0.35">
      <c r="D62" s="1"/>
      <c r="E62"/>
      <c r="F62" s="3"/>
      <c r="G62"/>
    </row>
    <row r="63" spans="4:7" x14ac:dyDescent="0.35">
      <c r="D63" s="1"/>
      <c r="E63"/>
      <c r="F63" s="3"/>
      <c r="G63"/>
    </row>
    <row r="64" spans="4:7" x14ac:dyDescent="0.35">
      <c r="D64" s="1"/>
      <c r="E64"/>
      <c r="F64" s="3"/>
      <c r="G64"/>
    </row>
    <row r="65" spans="4:7" x14ac:dyDescent="0.35">
      <c r="D65" s="1"/>
      <c r="E65"/>
      <c r="F65" s="3"/>
      <c r="G65"/>
    </row>
    <row r="66" spans="4:7" x14ac:dyDescent="0.35">
      <c r="D66" s="1"/>
      <c r="E66"/>
      <c r="F66" s="3"/>
      <c r="G66"/>
    </row>
    <row r="67" spans="4:7" x14ac:dyDescent="0.35">
      <c r="D67" s="1"/>
      <c r="E67"/>
      <c r="F67" s="3"/>
      <c r="G67"/>
    </row>
    <row r="68" spans="4:7" x14ac:dyDescent="0.35">
      <c r="D68" s="1"/>
      <c r="E68"/>
      <c r="F68" s="3"/>
      <c r="G68"/>
    </row>
    <row r="69" spans="4:7" x14ac:dyDescent="0.35">
      <c r="D69" s="1"/>
      <c r="E69"/>
      <c r="F69" s="3"/>
      <c r="G69"/>
    </row>
    <row r="70" spans="4:7" x14ac:dyDescent="0.35">
      <c r="D70" s="1"/>
      <c r="E70"/>
      <c r="F70" s="3"/>
      <c r="G70"/>
    </row>
    <row r="71" spans="4:7" x14ac:dyDescent="0.35">
      <c r="D71" s="1"/>
      <c r="E71"/>
      <c r="F71" s="3"/>
      <c r="G71"/>
    </row>
    <row r="72" spans="4:7" x14ac:dyDescent="0.35">
      <c r="D72" s="1"/>
      <c r="E72"/>
      <c r="F72" s="3"/>
      <c r="G72"/>
    </row>
    <row r="73" spans="4:7" x14ac:dyDescent="0.35">
      <c r="D73" s="1"/>
      <c r="E73"/>
      <c r="F73" s="3"/>
      <c r="G73"/>
    </row>
    <row r="74" spans="4:7" x14ac:dyDescent="0.35">
      <c r="D74" s="1"/>
      <c r="E74"/>
      <c r="F74" s="3"/>
      <c r="G74"/>
    </row>
    <row r="75" spans="4:7" x14ac:dyDescent="0.35">
      <c r="D75" s="1"/>
      <c r="E75"/>
      <c r="F75" s="3"/>
      <c r="G75"/>
    </row>
    <row r="76" spans="4:7" x14ac:dyDescent="0.35">
      <c r="D76" s="1"/>
      <c r="E76"/>
      <c r="F76" s="3"/>
      <c r="G76"/>
    </row>
    <row r="77" spans="4:7" x14ac:dyDescent="0.35">
      <c r="D77" s="1"/>
      <c r="E77"/>
      <c r="F77" s="3"/>
      <c r="G77"/>
    </row>
    <row r="78" spans="4:7" x14ac:dyDescent="0.35">
      <c r="D78" s="1"/>
      <c r="E78"/>
      <c r="F78" s="3"/>
      <c r="G78"/>
    </row>
    <row r="79" spans="4:7" x14ac:dyDescent="0.35">
      <c r="D79" s="1"/>
      <c r="E79"/>
      <c r="F79" s="3"/>
      <c r="G79"/>
    </row>
    <row r="80" spans="4:7" x14ac:dyDescent="0.35">
      <c r="D80" s="1"/>
      <c r="E80"/>
      <c r="F80" s="3"/>
      <c r="G80"/>
    </row>
    <row r="81" spans="4:7" x14ac:dyDescent="0.35">
      <c r="D81" s="1"/>
      <c r="E81"/>
      <c r="F81" s="3"/>
      <c r="G81"/>
    </row>
    <row r="82" spans="4:7" x14ac:dyDescent="0.35">
      <c r="D82" s="1"/>
      <c r="E82"/>
      <c r="F82" s="3"/>
      <c r="G82"/>
    </row>
    <row r="83" spans="4:7" x14ac:dyDescent="0.35">
      <c r="D83" s="1"/>
      <c r="E83"/>
      <c r="F83" s="3"/>
      <c r="G83"/>
    </row>
    <row r="84" spans="4:7" x14ac:dyDescent="0.35">
      <c r="D84" s="1"/>
      <c r="E84"/>
      <c r="F84" s="3"/>
      <c r="G84"/>
    </row>
    <row r="85" spans="4:7" x14ac:dyDescent="0.35">
      <c r="D85" s="1"/>
      <c r="E85"/>
      <c r="F85" s="3"/>
      <c r="G85"/>
    </row>
    <row r="86" spans="4:7" x14ac:dyDescent="0.35">
      <c r="D86" s="1"/>
      <c r="E86"/>
      <c r="F86" s="3"/>
      <c r="G86"/>
    </row>
    <row r="87" spans="4:7" x14ac:dyDescent="0.35">
      <c r="D87" s="1"/>
      <c r="E87"/>
      <c r="F87" s="3"/>
      <c r="G87"/>
    </row>
    <row r="88" spans="4:7" x14ac:dyDescent="0.35">
      <c r="D88" s="1"/>
      <c r="E88"/>
      <c r="F88" s="3"/>
      <c r="G88"/>
    </row>
    <row r="89" spans="4:7" x14ac:dyDescent="0.35">
      <c r="D89" s="1"/>
      <c r="E89"/>
      <c r="F89" s="3"/>
      <c r="G89"/>
    </row>
    <row r="90" spans="4:7" x14ac:dyDescent="0.35">
      <c r="D90" s="1"/>
      <c r="E90"/>
      <c r="F90" s="3"/>
      <c r="G90"/>
    </row>
    <row r="91" spans="4:7" x14ac:dyDescent="0.35">
      <c r="D91" s="1"/>
      <c r="E91"/>
      <c r="F91" s="3"/>
      <c r="G91"/>
    </row>
    <row r="92" spans="4:7" x14ac:dyDescent="0.35">
      <c r="D92" s="1"/>
      <c r="E92"/>
      <c r="F92" s="3"/>
      <c r="G92"/>
    </row>
    <row r="93" spans="4:7" x14ac:dyDescent="0.35">
      <c r="D93" s="1"/>
      <c r="E93"/>
      <c r="F93" s="3"/>
      <c r="G93"/>
    </row>
    <row r="94" spans="4:7" x14ac:dyDescent="0.35">
      <c r="D94" s="1"/>
      <c r="E94"/>
      <c r="F94" s="3"/>
      <c r="G94"/>
    </row>
    <row r="95" spans="4:7" x14ac:dyDescent="0.35">
      <c r="D95" s="1"/>
      <c r="E95"/>
      <c r="F95" s="3"/>
      <c r="G95"/>
    </row>
    <row r="96" spans="4:7" x14ac:dyDescent="0.35">
      <c r="D96" s="1"/>
      <c r="E96"/>
      <c r="F96" s="3"/>
      <c r="G96"/>
    </row>
    <row r="97" spans="4:7" x14ac:dyDescent="0.35">
      <c r="D97" s="1"/>
      <c r="E97"/>
      <c r="F97" s="3"/>
      <c r="G97"/>
    </row>
    <row r="98" spans="4:7" x14ac:dyDescent="0.35">
      <c r="D98" s="1"/>
      <c r="E98"/>
      <c r="F98" s="3"/>
      <c r="G98"/>
    </row>
    <row r="99" spans="4:7" x14ac:dyDescent="0.35">
      <c r="D99" s="1"/>
      <c r="E99"/>
      <c r="F99" s="3"/>
      <c r="G99"/>
    </row>
  </sheetData>
  <dataValidations count="7">
    <dataValidation type="list" allowBlank="1" showInputMessage="1" showErrorMessage="1" sqref="E12:E99" xr:uid="{B96A0526-9A1F-4650-BA6F-B61875585D4D}">
      <formula1>Pay_Type</formula1>
    </dataValidation>
    <dataValidation type="list" allowBlank="1" showInputMessage="1" showErrorMessage="1" sqref="H12:H99" xr:uid="{90E59FA3-E918-4D09-986F-419196177CE0}">
      <formula1>"Active_Status"</formula1>
    </dataValidation>
    <dataValidation type="list" allowBlank="1" showInputMessage="1" showErrorMessage="1" sqref="B12:B99" xr:uid="{6FD8E536-C7AE-4E51-A4C8-86948DD80320}">
      <formula1>Departments</formula1>
    </dataValidation>
    <dataValidation allowBlank="1" showInputMessage="1" showErrorMessage="1" sqref="I1 I101:I1048576" xr:uid="{869AEE4E-F426-40F6-A74C-FBEDADA7C5F7}"/>
    <dataValidation type="list" allowBlank="1" showInputMessage="1" showErrorMessage="1" sqref="I2:I100" xr:uid="{4EC021BF-B80F-4DFD-8D58-5279A900C46C}">
      <formula1>"Active,Inactive"</formula1>
    </dataValidation>
    <dataValidation type="list" allowBlank="1" showInputMessage="1" showErrorMessage="1" sqref="F2:F100" xr:uid="{98A41C3B-BE25-4C28-9CFE-B5CA92234B2B}">
      <formula1>"Hourly, Salaried"</formula1>
    </dataValidation>
    <dataValidation type="list" allowBlank="1" showInputMessage="1" showErrorMessage="1" sqref="C2:C100" xr:uid="{E26DE22A-FAD4-45B3-BE72-50EFCAC7ECF7}">
      <formula1>"HR, Finance, Marketing, Operations, IT, Sales"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62E93-E4F7-473E-9AA0-4CD87AB4DD4D}">
  <sheetPr codeName="Sheet2"/>
  <dimension ref="A1:L11"/>
  <sheetViews>
    <sheetView topLeftCell="C1" workbookViewId="0">
      <selection sqref="A1:L1048576"/>
    </sheetView>
  </sheetViews>
  <sheetFormatPr defaultRowHeight="14.5" x14ac:dyDescent="0.35"/>
  <cols>
    <col min="2" max="2" width="12" bestFit="1" customWidth="1"/>
    <col min="3" max="3" width="15.26953125" style="1" bestFit="1" customWidth="1"/>
    <col min="4" max="4" width="21.453125" style="1" bestFit="1" customWidth="1"/>
    <col min="5" max="5" width="13.54296875" style="8" bestFit="1" customWidth="1"/>
    <col min="6" max="6" width="13.54296875" style="3" customWidth="1"/>
    <col min="7" max="7" width="15.81640625" style="3" bestFit="1" customWidth="1"/>
    <col min="8" max="8" width="12.26953125" style="3" bestFit="1" customWidth="1"/>
    <col min="9" max="9" width="13.54296875" style="3" customWidth="1"/>
    <col min="10" max="10" width="14.7265625" bestFit="1" customWidth="1"/>
    <col min="11" max="11" width="14.81640625" style="1" bestFit="1" customWidth="1"/>
    <col min="12" max="12" width="11.1796875" bestFit="1" customWidth="1"/>
  </cols>
  <sheetData>
    <row r="1" spans="1:12" x14ac:dyDescent="0.35">
      <c r="A1" t="s">
        <v>57</v>
      </c>
      <c r="B1" t="s">
        <v>0</v>
      </c>
      <c r="C1" s="1" t="s">
        <v>58</v>
      </c>
      <c r="D1" s="1" t="s">
        <v>59</v>
      </c>
      <c r="E1" s="8" t="s">
        <v>60</v>
      </c>
      <c r="F1" s="3" t="s">
        <v>61</v>
      </c>
      <c r="G1" s="3" t="s">
        <v>62</v>
      </c>
      <c r="H1" s="3" t="s">
        <v>63</v>
      </c>
      <c r="I1" s="3" t="s">
        <v>64</v>
      </c>
      <c r="J1" t="s">
        <v>65</v>
      </c>
      <c r="K1" s="1" t="s">
        <v>66</v>
      </c>
      <c r="L1" t="s">
        <v>2</v>
      </c>
    </row>
    <row r="2" spans="1:12" x14ac:dyDescent="0.35">
      <c r="A2" t="str">
        <f>"P" &amp; TEXT(ROW(A2)-1,"000")</f>
        <v>P001</v>
      </c>
      <c r="B2" t="s">
        <v>9</v>
      </c>
      <c r="C2" s="1">
        <v>45691</v>
      </c>
      <c r="D2" s="1">
        <v>410961</v>
      </c>
      <c r="E2" s="8">
        <v>0</v>
      </c>
      <c r="F2" s="3">
        <f>IF(
   _xlfn.XLOOKUP(B2, EmployeeTable[Employee_ID], EmployeeTable[Pay_Type])="Hourly",
   E2 * _xlfn.XLOOKUP(B2, EmployeeTable[Employee_ID], EmployeeTable[Pay_Rate]),
   _xlfn.XLOOKUP(B2, EmployeeTable[Employee_ID], EmployeeTable[Pay_Rate])
)</f>
        <v>4800</v>
      </c>
      <c r="G2" s="3">
        <v>315</v>
      </c>
      <c r="H2" s="3">
        <f>F2 * (Tax_Info!B2 + Tax_Info!B3 + Tax_Info!B4)</f>
        <v>943.2</v>
      </c>
      <c r="I2" s="3">
        <f>F2 - G2 - H2</f>
        <v>3541.8</v>
      </c>
      <c r="J2" t="s">
        <v>67</v>
      </c>
      <c r="K2" s="1">
        <v>45720</v>
      </c>
      <c r="L2" t="str">
        <f>_xlfn.XLOOKUP(B2, EmployeeTable[Employee_ID], EmployeeTable[Department])</f>
        <v>HR</v>
      </c>
    </row>
    <row r="3" spans="1:12" x14ac:dyDescent="0.35">
      <c r="A3" t="str">
        <f t="shared" ref="A3:A11" si="0">"P" &amp; TEXT(ROW(A3)-1,"000")</f>
        <v>P002</v>
      </c>
      <c r="B3" t="s">
        <v>16</v>
      </c>
      <c r="C3" s="1">
        <v>45685</v>
      </c>
      <c r="D3" s="1">
        <v>45716</v>
      </c>
      <c r="E3" s="8">
        <v>0</v>
      </c>
      <c r="F3" s="3">
        <f>IF(
   _xlfn.XLOOKUP(B3, EmployeeTable[Employee_ID], EmployeeTable[Pay_Type])="Hourly",
   E3 * _xlfn.XLOOKUP(B3, EmployeeTable[Employee_ID], EmployeeTable[Pay_Rate]),
   _xlfn.XLOOKUP(B3, EmployeeTable[Employee_ID], EmployeeTable[Pay_Rate])
)</f>
        <v>5200</v>
      </c>
      <c r="G3" s="3" cm="1">
        <f t="array" ref="G3">_xlfn.XLOOKUP(1, (Deductions!$A$2:$A$100 = $B3) * (Deductions!$B$2:$B$100 = $D3), Deductions!$F$2:$F$100, 0)</f>
        <v>335</v>
      </c>
      <c r="H3" s="3">
        <f>F3 * (Tax_Info!B2 + Tax_Info!B3 + Tax_Info!B4)</f>
        <v>1021.8000000000001</v>
      </c>
      <c r="I3" s="3">
        <f t="shared" ref="I3:I11" si="1">F3 - G3 - H3</f>
        <v>3843.2</v>
      </c>
      <c r="J3" t="s">
        <v>68</v>
      </c>
      <c r="K3" s="1">
        <v>45719</v>
      </c>
      <c r="L3" t="str">
        <f>_xlfn.XLOOKUP(B3, EmployeeTable[Employee_ID], EmployeeTable[Department])</f>
        <v>IT</v>
      </c>
    </row>
    <row r="4" spans="1:12" x14ac:dyDescent="0.35">
      <c r="A4" t="str">
        <f t="shared" si="0"/>
        <v>P003</v>
      </c>
      <c r="B4" t="s">
        <v>21</v>
      </c>
      <c r="C4" s="1">
        <v>45703</v>
      </c>
      <c r="D4" s="1">
        <v>45731</v>
      </c>
      <c r="E4" s="8">
        <v>140</v>
      </c>
      <c r="F4" s="3">
        <f>IF(
   _xlfn.XLOOKUP(B4, EmployeeTable[Employee_ID], EmployeeTable[Pay_Type])="Hourly",
   E4 * _xlfn.XLOOKUP(B4, EmployeeTable[Employee_ID], EmployeeTable[Pay_Rate]),
   _xlfn.XLOOKUP(B4, EmployeeTable[Employee_ID], EmployeeTable[Pay_Rate])
)</f>
        <v>4200</v>
      </c>
      <c r="G4" s="3" cm="1">
        <f t="array" ref="G4">_xlfn.XLOOKUP(1, (Deductions!$A$2:$A$100 = $B4) * (Deductions!$B$2:$B$100 = $D4), Deductions!$F$2:$F$100, 0)</f>
        <v>295</v>
      </c>
      <c r="H4" s="3">
        <f>F4 * (Tax_Info!B2 + Tax_Info!B3 + Tax_Info!B4)</f>
        <v>825.30000000000007</v>
      </c>
      <c r="I4" s="3">
        <f t="shared" si="1"/>
        <v>3079.7</v>
      </c>
      <c r="J4" t="s">
        <v>67</v>
      </c>
      <c r="K4" s="1">
        <v>45733</v>
      </c>
      <c r="L4" t="str">
        <f>_xlfn.XLOOKUP(B4, EmployeeTable[Employee_ID], EmployeeTable[Department])</f>
        <v>Payroll</v>
      </c>
    </row>
    <row r="5" spans="1:12" x14ac:dyDescent="0.35">
      <c r="A5" t="str">
        <f t="shared" si="0"/>
        <v>P004</v>
      </c>
      <c r="B5" t="s">
        <v>27</v>
      </c>
      <c r="C5" s="1">
        <v>45694</v>
      </c>
      <c r="D5" s="1">
        <v>45722</v>
      </c>
      <c r="E5" s="8">
        <v>0</v>
      </c>
      <c r="F5" s="3">
        <f>IF(
   _xlfn.XLOOKUP(B5, EmployeeTable[Employee_ID], EmployeeTable[Pay_Type])="Hourly",
   E5 * _xlfn.XLOOKUP(B5, EmployeeTable[Employee_ID], EmployeeTable[Pay_Rate]),
   _xlfn.XLOOKUP(B5, EmployeeTable[Employee_ID], EmployeeTable[Pay_Rate])
)</f>
        <v>4500</v>
      </c>
      <c r="G5" s="3" cm="1">
        <f t="array" ref="G5">_xlfn.XLOOKUP(1, (Deductions!$A$2:$A$100 = $B5) * (Deductions!$B$2:$B$100 = $D5), Deductions!$F$2:$F$100, 0)</f>
        <v>300</v>
      </c>
      <c r="H5" s="3">
        <f>F5 * (Tax_Info!B2 + Tax_Info!B3 + Tax_Info!B4)</f>
        <v>884.25</v>
      </c>
      <c r="I5" s="3">
        <f t="shared" si="1"/>
        <v>3315.75</v>
      </c>
      <c r="J5" t="s">
        <v>67</v>
      </c>
      <c r="K5" s="1">
        <v>45724</v>
      </c>
      <c r="L5" t="str">
        <f>_xlfn.XLOOKUP(B5, EmployeeTable[Employee_ID], EmployeeTable[Department])</f>
        <v>Finance</v>
      </c>
    </row>
    <row r="6" spans="1:12" x14ac:dyDescent="0.35">
      <c r="A6" t="str">
        <f t="shared" si="0"/>
        <v>P005</v>
      </c>
      <c r="B6" t="s">
        <v>32</v>
      </c>
      <c r="C6" s="1">
        <v>45704</v>
      </c>
      <c r="D6" s="1">
        <v>45732</v>
      </c>
      <c r="E6" s="8">
        <v>160</v>
      </c>
      <c r="F6" s="3">
        <f>IF(
   _xlfn.XLOOKUP(B6, EmployeeTable[Employee_ID], EmployeeTable[Pay_Type])="Hourly",
   E6 * _xlfn.XLOOKUP(B6, EmployeeTable[Employee_ID], EmployeeTable[Pay_Rate]),
   _xlfn.XLOOKUP(B6, EmployeeTable[Employee_ID], EmployeeTable[Pay_Rate])
)</f>
        <v>3520</v>
      </c>
      <c r="G6" s="3" cm="1">
        <f t="array" ref="G6">_xlfn.XLOOKUP(1, (Deductions!$A$2:$A$100 = $B6) * (Deductions!$B$2:$B$100 = $D6), Deductions!$F$2:$F$100, 0)</f>
        <v>251</v>
      </c>
      <c r="H6" s="3">
        <f>F6 * (Tax_Info!B2 + Tax_Info!B3 + Tax_Info!B4)</f>
        <v>691.68000000000006</v>
      </c>
      <c r="I6" s="3">
        <f t="shared" si="1"/>
        <v>2577.3199999999997</v>
      </c>
      <c r="J6" t="s">
        <v>67</v>
      </c>
      <c r="K6" s="1">
        <v>45734</v>
      </c>
      <c r="L6" t="str">
        <f>_xlfn.XLOOKUP(B6, EmployeeTable[Employee_ID], EmployeeTable[Department])</f>
        <v>Payroll</v>
      </c>
    </row>
    <row r="7" spans="1:12" x14ac:dyDescent="0.35">
      <c r="A7" t="str">
        <f t="shared" si="0"/>
        <v>P006</v>
      </c>
      <c r="B7" t="s">
        <v>36</v>
      </c>
      <c r="C7" s="1">
        <v>45603</v>
      </c>
      <c r="D7" s="1">
        <v>45633</v>
      </c>
      <c r="E7" s="8">
        <v>155</v>
      </c>
      <c r="F7" s="3">
        <f>IF(
   _xlfn.XLOOKUP(B7, EmployeeTable[Employee_ID], EmployeeTable[Pay_Type])="Hourly",
   E7 * _xlfn.XLOOKUP(B7, EmployeeTable[Employee_ID], EmployeeTable[Pay_Rate]),
   _xlfn.XLOOKUP(B7, EmployeeTable[Employee_ID], EmployeeTable[Pay_Rate])
)</f>
        <v>3875</v>
      </c>
      <c r="G7" s="3" cm="1">
        <f t="array" ref="G7">_xlfn.XLOOKUP(1, (Deductions!$A$2:$A$100 = $B7) * (Deductions!$B$2:$B$100 = $D7), Deductions!$F$2:$F$100, 0)</f>
        <v>268.75</v>
      </c>
      <c r="H7" s="3">
        <f>F7 * (Tax_Info!B2 + Tax_Info!B3 + Tax_Info!B4)</f>
        <v>761.4375</v>
      </c>
      <c r="I7" s="3">
        <f t="shared" si="1"/>
        <v>2844.8125</v>
      </c>
      <c r="J7" t="s">
        <v>69</v>
      </c>
      <c r="K7" s="1">
        <v>45636</v>
      </c>
      <c r="L7" t="str">
        <f>_xlfn.XLOOKUP(B7, EmployeeTable[Employee_ID], EmployeeTable[Department])</f>
        <v>Marketing</v>
      </c>
    </row>
    <row r="8" spans="1:12" x14ac:dyDescent="0.35">
      <c r="A8" t="str">
        <f t="shared" si="0"/>
        <v>P007</v>
      </c>
      <c r="B8" t="s">
        <v>41</v>
      </c>
      <c r="C8" s="1">
        <v>45581</v>
      </c>
      <c r="D8" s="1">
        <v>45612</v>
      </c>
      <c r="E8" s="8">
        <v>0</v>
      </c>
      <c r="F8" s="3">
        <f>IF(
   _xlfn.XLOOKUP(B8, EmployeeTable[Employee_ID], EmployeeTable[Pay_Type])="Hourly",
   E8 * _xlfn.XLOOKUP(B8, EmployeeTable[Employee_ID], EmployeeTable[Pay_Rate]),
   _xlfn.XLOOKUP(B8, EmployeeTable[Employee_ID], EmployeeTable[Pay_Rate])
)</f>
        <v>3900</v>
      </c>
      <c r="G8" s="3" cm="1">
        <f t="array" ref="G8">_xlfn.XLOOKUP(1, (Deductions!$A$2:$A$100 = $B8) * (Deductions!$B$2:$B$100 = $D8), Deductions!$F$2:$F$100, 0)</f>
        <v>270</v>
      </c>
      <c r="H8" s="3">
        <f>F8 * (Tax_Info!B2 + Tax_Info!B3 + Tax_Info!B4)</f>
        <v>766.35</v>
      </c>
      <c r="I8" s="3">
        <f t="shared" si="1"/>
        <v>2863.65</v>
      </c>
      <c r="J8" t="s">
        <v>67</v>
      </c>
      <c r="K8" s="1">
        <v>45614</v>
      </c>
      <c r="L8" t="str">
        <f>_xlfn.XLOOKUP(B8, EmployeeTable[Employee_ID], EmployeeTable[Department])</f>
        <v>Finance</v>
      </c>
    </row>
    <row r="9" spans="1:12" x14ac:dyDescent="0.35">
      <c r="A9" t="str">
        <f t="shared" si="0"/>
        <v>P008</v>
      </c>
      <c r="B9" t="s">
        <v>45</v>
      </c>
      <c r="C9" s="1">
        <v>45604</v>
      </c>
      <c r="D9" s="1">
        <v>45634</v>
      </c>
      <c r="E9" s="8">
        <v>170</v>
      </c>
      <c r="F9" s="3">
        <f>IF(
   _xlfn.XLOOKUP(B9, EmployeeTable[Employee_ID], EmployeeTable[Pay_Type])="Hourly",
   E9 * _xlfn.XLOOKUP(B9, EmployeeTable[Employee_ID], EmployeeTable[Pay_Rate]),
   _xlfn.XLOOKUP(B9, EmployeeTable[Employee_ID], EmployeeTable[Pay_Rate])
)</f>
        <v>4760</v>
      </c>
      <c r="G9" s="3" cm="1">
        <f t="array" ref="G9">_xlfn.XLOOKUP(1, (Deductions!$A$2:$A$100 = $B9) * (Deductions!$B$2:$B$100 = $D9), Deductions!$F$2:$F$100, 0)</f>
        <v>313</v>
      </c>
      <c r="H9" s="3">
        <f>F9 * (Tax_Info!B2 + Tax_Info!B3 + Tax_Info!B4)</f>
        <v>935.34</v>
      </c>
      <c r="I9" s="3">
        <f t="shared" si="1"/>
        <v>3511.66</v>
      </c>
      <c r="J9" t="s">
        <v>67</v>
      </c>
      <c r="K9" s="1">
        <v>45636</v>
      </c>
      <c r="L9" t="str">
        <f>_xlfn.XLOOKUP(B9, EmployeeTable[Employee_ID], EmployeeTable[Department])</f>
        <v>IT</v>
      </c>
    </row>
    <row r="10" spans="1:12" x14ac:dyDescent="0.35">
      <c r="A10" t="str">
        <f t="shared" si="0"/>
        <v>P009</v>
      </c>
      <c r="B10" t="s">
        <v>49</v>
      </c>
      <c r="C10" s="1">
        <v>45580</v>
      </c>
      <c r="D10" s="1">
        <v>45611</v>
      </c>
      <c r="E10" s="8">
        <v>168</v>
      </c>
      <c r="F10" s="3">
        <f>IF(
   _xlfn.XLOOKUP(B10, EmployeeTable[Employee_ID], EmployeeTable[Pay_Type])="Hourly",
   E10 * _xlfn.XLOOKUP(B10, EmployeeTable[Employee_ID], EmployeeTable[Pay_Rate]),
   _xlfn.XLOOKUP(B10, EmployeeTable[Employee_ID], EmployeeTable[Pay_Rate])
)</f>
        <v>3360</v>
      </c>
      <c r="G10" s="3" cm="1">
        <f t="array" ref="G10">_xlfn.XLOOKUP(1, (Deductions!$A$2:$A$100 = $B10) * (Deductions!$B$2:$B$100 = $D10), Deductions!$F$2:$F$100, 0)</f>
        <v>243</v>
      </c>
      <c r="H10" s="3">
        <f>F10 * (Tax_Info!B2 + Tax_Info!B3 + Tax_Info!B4)</f>
        <v>660.24</v>
      </c>
      <c r="I10" s="3">
        <f t="shared" si="1"/>
        <v>2456.7600000000002</v>
      </c>
      <c r="J10" t="s">
        <v>67</v>
      </c>
      <c r="K10" s="1">
        <v>45613</v>
      </c>
      <c r="L10" t="str">
        <f>_xlfn.XLOOKUP(B10, EmployeeTable[Employee_ID], EmployeeTable[Department])</f>
        <v>HR</v>
      </c>
    </row>
    <row r="11" spans="1:12" x14ac:dyDescent="0.35">
      <c r="A11" t="str">
        <f t="shared" si="0"/>
        <v>P010</v>
      </c>
      <c r="B11" t="s">
        <v>53</v>
      </c>
      <c r="C11" s="1">
        <v>45603</v>
      </c>
      <c r="D11" s="1">
        <v>45633</v>
      </c>
      <c r="E11" s="8">
        <v>0</v>
      </c>
      <c r="F11" s="3">
        <f>IF(
   _xlfn.XLOOKUP(B11, EmployeeTable[Employee_ID], EmployeeTable[Pay_Type])="Hourly",
   E11 * _xlfn.XLOOKUP(B11, EmployeeTable[Employee_ID], EmployeeTable[Pay_Rate]),
   _xlfn.XLOOKUP(B11, EmployeeTable[Employee_ID], EmployeeTable[Pay_Rate])
)</f>
        <v>5000</v>
      </c>
      <c r="G11" s="3" cm="1">
        <f t="array" ref="G11">_xlfn.XLOOKUP(1, (Deductions!$A$2:$A$100 = $B11) * (Deductions!$B$2:$B$100 = $D11), Deductions!$F$2:$F$100, 0)</f>
        <v>335</v>
      </c>
      <c r="H11" s="3">
        <f>F11 * (Tax_Info!B2 + Tax_Info!B3 + Tax_Info!B4)</f>
        <v>982.5</v>
      </c>
      <c r="I11" s="3">
        <f t="shared" si="1"/>
        <v>3682.5</v>
      </c>
      <c r="J11" t="s">
        <v>67</v>
      </c>
      <c r="K11" s="1">
        <v>45635</v>
      </c>
      <c r="L11" t="str">
        <f>_xlfn.XLOOKUP(B11, EmployeeTable[Employee_ID], EmployeeTable[Department])</f>
        <v>Payroll</v>
      </c>
    </row>
  </sheetData>
  <autoFilter ref="A1:L11" xr:uid="{6A862E93-E4F7-473E-9AA0-4CD87AB4DD4D}"/>
  <dataValidations count="1">
    <dataValidation type="list" allowBlank="1" showInputMessage="1" showErrorMessage="1" sqref="J2:J100" xr:uid="{A989899B-6E59-4081-931F-0806268FA6C1}">
      <formula1>"Pending,Processed,Failed"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2C3668A-9A78-438A-844C-EBD661B34B76}">
          <x14:formula1>
            <xm:f>Employee_Info!A2:A2</xm:f>
          </x14:formula1>
          <xm:sqref>B2:B100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7DA9F-0008-47D5-86DE-539AC01C17F4}">
  <sheetPr codeName="Sheet3"/>
  <dimension ref="A1:F11"/>
  <sheetViews>
    <sheetView workbookViewId="0">
      <selection activeCell="A3" sqref="A3"/>
    </sheetView>
  </sheetViews>
  <sheetFormatPr defaultRowHeight="14.5" x14ac:dyDescent="0.35"/>
  <cols>
    <col min="1" max="1" width="12" bestFit="1" customWidth="1"/>
    <col min="2" max="2" width="14.453125" style="1" bestFit="1" customWidth="1"/>
    <col min="3" max="3" width="16" style="3" bestFit="1" customWidth="1"/>
    <col min="4" max="4" width="16.7265625" style="3" bestFit="1" customWidth="1"/>
    <col min="5" max="5" width="8.7265625" style="3"/>
    <col min="6" max="6" width="15.81640625" style="3" bestFit="1" customWidth="1"/>
    <col min="9" max="9" width="18.54296875" bestFit="1" customWidth="1"/>
  </cols>
  <sheetData>
    <row r="1" spans="1:6" x14ac:dyDescent="0.35">
      <c r="A1" t="s">
        <v>0</v>
      </c>
      <c r="B1" s="1" t="s">
        <v>59</v>
      </c>
      <c r="C1" s="3" t="s">
        <v>70</v>
      </c>
      <c r="D1" s="3" t="s">
        <v>71</v>
      </c>
      <c r="E1" s="3" t="s">
        <v>72</v>
      </c>
      <c r="F1" s="3" t="s">
        <v>62</v>
      </c>
    </row>
    <row r="2" spans="1:6" x14ac:dyDescent="0.35">
      <c r="A2" t="s">
        <v>9</v>
      </c>
      <c r="B2" s="1">
        <v>45719</v>
      </c>
      <c r="C2" s="3">
        <v>40</v>
      </c>
      <c r="D2" s="3">
        <v>240</v>
      </c>
      <c r="E2" s="3">
        <v>35</v>
      </c>
      <c r="F2" s="3">
        <f t="shared" ref="F2:F11" si="0">C2 + D2 + E2</f>
        <v>315</v>
      </c>
    </row>
    <row r="3" spans="1:6" x14ac:dyDescent="0.35">
      <c r="A3" t="s">
        <v>16</v>
      </c>
      <c r="B3" s="1">
        <v>45716</v>
      </c>
      <c r="C3" s="3">
        <v>40</v>
      </c>
      <c r="D3" s="3">
        <v>260</v>
      </c>
      <c r="E3" s="3">
        <v>35</v>
      </c>
      <c r="F3" s="3">
        <f t="shared" si="0"/>
        <v>335</v>
      </c>
    </row>
    <row r="4" spans="1:6" x14ac:dyDescent="0.35">
      <c r="A4" t="s">
        <v>21</v>
      </c>
      <c r="B4" s="1">
        <v>45731</v>
      </c>
      <c r="C4" s="3">
        <v>50</v>
      </c>
      <c r="D4" s="3">
        <v>210</v>
      </c>
      <c r="E4" s="3">
        <v>35</v>
      </c>
      <c r="F4" s="3">
        <f t="shared" si="0"/>
        <v>295</v>
      </c>
    </row>
    <row r="5" spans="1:6" x14ac:dyDescent="0.35">
      <c r="A5" t="s">
        <v>27</v>
      </c>
      <c r="B5" s="1">
        <v>45722</v>
      </c>
      <c r="C5" s="3">
        <v>40</v>
      </c>
      <c r="D5" s="3">
        <v>225</v>
      </c>
      <c r="E5" s="3">
        <v>35</v>
      </c>
      <c r="F5" s="3">
        <f t="shared" si="0"/>
        <v>300</v>
      </c>
    </row>
    <row r="6" spans="1:6" x14ac:dyDescent="0.35">
      <c r="A6" t="s">
        <v>32</v>
      </c>
      <c r="B6" s="1">
        <v>45732</v>
      </c>
      <c r="C6" s="3">
        <v>40</v>
      </c>
      <c r="D6" s="3">
        <v>176</v>
      </c>
      <c r="E6" s="3">
        <v>35</v>
      </c>
      <c r="F6" s="3">
        <f t="shared" si="0"/>
        <v>251</v>
      </c>
    </row>
    <row r="7" spans="1:6" x14ac:dyDescent="0.35">
      <c r="A7" t="s">
        <v>36</v>
      </c>
      <c r="B7" s="1">
        <v>45633</v>
      </c>
      <c r="C7" s="3">
        <v>40</v>
      </c>
      <c r="D7" s="3">
        <v>193.75</v>
      </c>
      <c r="E7" s="3">
        <v>35</v>
      </c>
      <c r="F7" s="3">
        <f t="shared" si="0"/>
        <v>268.75</v>
      </c>
    </row>
    <row r="8" spans="1:6" x14ac:dyDescent="0.35">
      <c r="A8" t="s">
        <v>41</v>
      </c>
      <c r="B8" s="1">
        <v>45612</v>
      </c>
      <c r="C8" s="3">
        <v>40</v>
      </c>
      <c r="D8" s="3">
        <v>195</v>
      </c>
      <c r="E8" s="3">
        <v>35</v>
      </c>
      <c r="F8" s="3">
        <f t="shared" si="0"/>
        <v>270</v>
      </c>
    </row>
    <row r="9" spans="1:6" x14ac:dyDescent="0.35">
      <c r="A9" t="s">
        <v>45</v>
      </c>
      <c r="B9" s="1">
        <v>45634</v>
      </c>
      <c r="C9" s="3">
        <v>40</v>
      </c>
      <c r="D9" s="3">
        <v>238</v>
      </c>
      <c r="E9" s="3">
        <v>35</v>
      </c>
      <c r="F9" s="3">
        <f t="shared" si="0"/>
        <v>313</v>
      </c>
    </row>
    <row r="10" spans="1:6" x14ac:dyDescent="0.35">
      <c r="A10" t="s">
        <v>49</v>
      </c>
      <c r="B10" s="1">
        <v>45611</v>
      </c>
      <c r="C10" s="3">
        <v>40</v>
      </c>
      <c r="D10" s="3">
        <v>168</v>
      </c>
      <c r="E10" s="3">
        <v>35</v>
      </c>
      <c r="F10" s="3">
        <f t="shared" si="0"/>
        <v>243</v>
      </c>
    </row>
    <row r="11" spans="1:6" x14ac:dyDescent="0.35">
      <c r="A11" t="s">
        <v>53</v>
      </c>
      <c r="B11" s="1">
        <v>45633</v>
      </c>
      <c r="C11" s="3">
        <v>50</v>
      </c>
      <c r="D11" s="3">
        <v>250</v>
      </c>
      <c r="E11" s="3">
        <v>35</v>
      </c>
      <c r="F11" s="3">
        <f t="shared" si="0"/>
        <v>335</v>
      </c>
    </row>
  </sheetData>
  <dataValidations count="2">
    <dataValidation type="list" allowBlank="1" showInputMessage="1" showErrorMessage="1" sqref="A2:A11" xr:uid="{5B8C5416-1D59-4F2A-8718-0B6C8265E6D1}">
      <formula1>Employee_IDs</formula1>
    </dataValidation>
    <dataValidation allowBlank="1" showInputMessage="1" showErrorMessage="1" sqref="B2:B11" xr:uid="{85D3BBDF-16F8-4BFC-AF7E-76DD056F3747}"/>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DF034-B558-4A4D-B947-31F9002BF44E}">
  <sheetPr codeName="Sheet4"/>
  <dimension ref="A1:B4"/>
  <sheetViews>
    <sheetView workbookViewId="0">
      <selection activeCell="C3" sqref="C3"/>
    </sheetView>
  </sheetViews>
  <sheetFormatPr defaultRowHeight="14.5" x14ac:dyDescent="0.35"/>
  <cols>
    <col min="1" max="1" width="15.81640625" bestFit="1" customWidth="1"/>
    <col min="2" max="2" width="17.26953125" bestFit="1" customWidth="1"/>
    <col min="3" max="3" width="22.453125" bestFit="1" customWidth="1"/>
  </cols>
  <sheetData>
    <row r="1" spans="1:2" x14ac:dyDescent="0.35">
      <c r="A1" t="s">
        <v>73</v>
      </c>
      <c r="B1" t="s">
        <v>74</v>
      </c>
    </row>
    <row r="2" spans="1:2" x14ac:dyDescent="0.35">
      <c r="A2" t="s">
        <v>75</v>
      </c>
      <c r="B2">
        <v>0.12</v>
      </c>
    </row>
    <row r="3" spans="1:2" x14ac:dyDescent="0.35">
      <c r="A3" t="s">
        <v>76</v>
      </c>
      <c r="B3">
        <v>1.4500000000000001E-2</v>
      </c>
    </row>
    <row r="4" spans="1:2" x14ac:dyDescent="0.35">
      <c r="A4" t="s">
        <v>77</v>
      </c>
      <c r="B4">
        <v>6.2E-2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B4C51-23FE-4B4F-82CA-4A25C66E002E}">
  <sheetPr codeName="Sheet5">
    <pageSetUpPr autoPageBreaks="0"/>
  </sheetPr>
  <dimension ref="H14:AH58"/>
  <sheetViews>
    <sheetView showGridLines="0" showRowColHeaders="0" tabSelected="1" zoomScale="23" zoomScaleNormal="23" workbookViewId="0">
      <selection activeCell="AR39" sqref="AR39"/>
    </sheetView>
  </sheetViews>
  <sheetFormatPr defaultRowHeight="14.5" x14ac:dyDescent="0.35"/>
  <cols>
    <col min="9" max="9" width="13" bestFit="1" customWidth="1"/>
    <col min="10" max="10" width="14.1796875" bestFit="1" customWidth="1"/>
    <col min="11" max="11" width="16.08984375" bestFit="1" customWidth="1"/>
    <col min="12" max="12" width="23.1796875" bestFit="1" customWidth="1"/>
    <col min="13" max="13" width="18" bestFit="1" customWidth="1"/>
    <col min="14" max="14" width="16.36328125" bestFit="1" customWidth="1"/>
    <col min="15" max="15" width="15.6328125" bestFit="1" customWidth="1"/>
    <col min="16" max="16" width="13.81640625" bestFit="1" customWidth="1"/>
    <col min="17" max="18" width="14.54296875" bestFit="1" customWidth="1"/>
    <col min="19" max="19" width="18" bestFit="1" customWidth="1"/>
    <col min="20" max="20" width="16.54296875" bestFit="1" customWidth="1"/>
    <col min="21" max="21" width="14.54296875" bestFit="1" customWidth="1"/>
    <col min="24" max="24" width="18" bestFit="1" customWidth="1"/>
    <col min="25" max="25" width="16.54296875" bestFit="1" customWidth="1"/>
    <col min="26" max="26" width="14.54296875" bestFit="1" customWidth="1"/>
  </cols>
  <sheetData>
    <row r="14" spans="8:8" x14ac:dyDescent="0.35">
      <c r="H14" s="6"/>
    </row>
    <row r="19" spans="24:34" x14ac:dyDescent="0.35">
      <c r="X19" s="1"/>
      <c r="Y19" s="1"/>
      <c r="AA19" s="3"/>
      <c r="AD19" s="3"/>
    </row>
    <row r="20" spans="24:34" x14ac:dyDescent="0.35">
      <c r="X20" s="1"/>
      <c r="Y20" s="1"/>
      <c r="AA20" s="3"/>
      <c r="AB20" s="2"/>
      <c r="AC20" s="2"/>
      <c r="AD20" s="3"/>
      <c r="AF20" s="4"/>
    </row>
    <row r="21" spans="24:34" x14ac:dyDescent="0.35">
      <c r="X21" s="1"/>
      <c r="Y21" s="1"/>
      <c r="AA21" s="3"/>
      <c r="AB21" s="2"/>
      <c r="AC21" s="2"/>
      <c r="AD21" s="3"/>
      <c r="AF21" s="4"/>
    </row>
    <row r="22" spans="24:34" x14ac:dyDescent="0.35">
      <c r="X22" s="1"/>
      <c r="Y22" s="1"/>
      <c r="AA22" s="3"/>
      <c r="AB22" s="2"/>
      <c r="AC22" s="2"/>
      <c r="AD22" s="3"/>
      <c r="AF22" s="4"/>
      <c r="AH22" s="4"/>
    </row>
    <row r="23" spans="24:34" x14ac:dyDescent="0.35">
      <c r="X23" s="1"/>
      <c r="Y23" s="1"/>
      <c r="AA23" s="3"/>
      <c r="AB23" s="2"/>
      <c r="AC23" s="2"/>
      <c r="AD23" s="3"/>
      <c r="AF23" s="4"/>
      <c r="AH23" s="4"/>
    </row>
    <row r="24" spans="24:34" x14ac:dyDescent="0.35">
      <c r="X24" s="1"/>
      <c r="Y24" s="1"/>
      <c r="AA24" s="3"/>
      <c r="AB24" s="2"/>
      <c r="AC24" s="2"/>
      <c r="AD24" s="3"/>
      <c r="AF24" s="4"/>
      <c r="AH24" s="4"/>
    </row>
    <row r="25" spans="24:34" x14ac:dyDescent="0.35">
      <c r="X25" s="1"/>
      <c r="Y25" s="1"/>
      <c r="AA25" s="3"/>
      <c r="AB25" s="2"/>
      <c r="AC25" s="2"/>
      <c r="AD25" s="3"/>
      <c r="AF25" s="4"/>
      <c r="AH25" s="4"/>
    </row>
    <row r="26" spans="24:34" x14ac:dyDescent="0.35">
      <c r="X26" s="1"/>
      <c r="Y26" s="1"/>
      <c r="AA26" s="3"/>
      <c r="AB26" s="2"/>
      <c r="AC26" s="2"/>
      <c r="AD26" s="3"/>
      <c r="AF26" s="4"/>
      <c r="AH26" s="4"/>
    </row>
    <row r="27" spans="24:34" x14ac:dyDescent="0.35">
      <c r="X27" s="1"/>
      <c r="Y27" s="1"/>
      <c r="AA27" s="3"/>
      <c r="AB27" s="2"/>
      <c r="AC27" s="2"/>
      <c r="AD27" s="3"/>
      <c r="AF27" s="4"/>
      <c r="AH27" s="4"/>
    </row>
    <row r="28" spans="24:34" x14ac:dyDescent="0.35">
      <c r="X28" s="1"/>
      <c r="Y28" s="1"/>
      <c r="AA28" s="3"/>
      <c r="AB28" s="2"/>
      <c r="AC28" s="2"/>
      <c r="AD28" s="3"/>
      <c r="AF28" s="4"/>
      <c r="AH28" s="4"/>
    </row>
    <row r="29" spans="24:34" x14ac:dyDescent="0.35">
      <c r="X29" s="1"/>
      <c r="Y29" s="1"/>
      <c r="AA29" s="3"/>
      <c r="AB29" s="2"/>
      <c r="AC29" s="2"/>
      <c r="AD29" s="3"/>
      <c r="AF29" s="4"/>
      <c r="AH29" s="4"/>
    </row>
    <row r="30" spans="24:34" x14ac:dyDescent="0.35">
      <c r="Z30" s="1"/>
      <c r="AA30" s="1"/>
      <c r="AC30" s="3"/>
      <c r="AD30" s="2"/>
      <c r="AE30" s="2"/>
      <c r="AF30" s="3"/>
      <c r="AH30" s="4"/>
    </row>
    <row r="31" spans="24:34" x14ac:dyDescent="0.35">
      <c r="Z31" s="1"/>
      <c r="AA31" s="1"/>
      <c r="AC31" s="3"/>
      <c r="AD31" s="2"/>
      <c r="AE31" s="2"/>
      <c r="AF31" s="3"/>
      <c r="AH31" s="4"/>
    </row>
    <row r="48" spans="20:26" x14ac:dyDescent="0.35">
      <c r="T48" s="1"/>
      <c r="U48" s="1"/>
      <c r="W48" s="3"/>
      <c r="Z48" s="3"/>
    </row>
    <row r="49" spans="20:28" x14ac:dyDescent="0.35">
      <c r="T49" s="1"/>
      <c r="U49" s="1"/>
      <c r="W49" s="3"/>
      <c r="X49" s="2"/>
      <c r="Y49" s="2"/>
      <c r="Z49" s="3"/>
      <c r="AB49" s="4"/>
    </row>
    <row r="50" spans="20:28" x14ac:dyDescent="0.35">
      <c r="T50" s="1"/>
      <c r="U50" s="1"/>
      <c r="W50" s="3"/>
      <c r="X50" s="2"/>
      <c r="Y50" s="2"/>
      <c r="Z50" s="3"/>
      <c r="AB50" s="4"/>
    </row>
    <row r="51" spans="20:28" x14ac:dyDescent="0.35">
      <c r="T51" s="1"/>
      <c r="U51" s="1"/>
      <c r="W51" s="3"/>
      <c r="X51" s="2"/>
      <c r="Y51" s="2"/>
      <c r="Z51" s="3"/>
      <c r="AB51" s="4"/>
    </row>
    <row r="52" spans="20:28" x14ac:dyDescent="0.35">
      <c r="T52" s="1"/>
      <c r="U52" s="1"/>
      <c r="W52" s="3"/>
      <c r="X52" s="2"/>
      <c r="Y52" s="2"/>
      <c r="Z52" s="3"/>
      <c r="AB52" s="4"/>
    </row>
    <row r="53" spans="20:28" x14ac:dyDescent="0.35">
      <c r="T53" s="1"/>
      <c r="U53" s="1"/>
      <c r="W53" s="3"/>
      <c r="X53" s="2"/>
      <c r="Y53" s="2"/>
      <c r="Z53" s="3"/>
      <c r="AB53" s="4"/>
    </row>
    <row r="54" spans="20:28" x14ac:dyDescent="0.35">
      <c r="T54" s="1"/>
      <c r="U54" s="1"/>
      <c r="W54" s="3"/>
      <c r="X54" s="2"/>
      <c r="Y54" s="2"/>
      <c r="Z54" s="3"/>
      <c r="AB54" s="4"/>
    </row>
    <row r="55" spans="20:28" x14ac:dyDescent="0.35">
      <c r="T55" s="1"/>
      <c r="U55" s="1"/>
      <c r="W55" s="3"/>
      <c r="X55" s="2"/>
      <c r="Y55" s="2"/>
      <c r="Z55" s="3"/>
      <c r="AB55" s="4"/>
    </row>
    <row r="56" spans="20:28" x14ac:dyDescent="0.35">
      <c r="T56" s="1"/>
      <c r="U56" s="1"/>
      <c r="W56" s="3"/>
      <c r="X56" s="2"/>
      <c r="Y56" s="2"/>
      <c r="Z56" s="3"/>
      <c r="AB56" s="4"/>
    </row>
    <row r="57" spans="20:28" x14ac:dyDescent="0.35">
      <c r="T57" s="1"/>
      <c r="U57" s="1"/>
      <c r="W57" s="3"/>
      <c r="X57" s="2"/>
      <c r="Y57" s="2"/>
      <c r="Z57" s="3"/>
      <c r="AB57" s="4"/>
    </row>
    <row r="58" spans="20:28" x14ac:dyDescent="0.35">
      <c r="T58" s="1"/>
      <c r="U58" s="1"/>
      <c r="W58" s="3"/>
      <c r="X58" s="2"/>
      <c r="Y58" s="2"/>
      <c r="Z58" s="3"/>
      <c r="AB58" s="4"/>
    </row>
  </sheetData>
  <dataValidations count="1">
    <dataValidation type="list" allowBlank="1" showInputMessage="1" showErrorMessage="1" sqref="AG30:AG31 AE20:AE29 AA49:AA58" xr:uid="{A11C3206-3728-462D-AD29-E328A03BE629}">
      <formula1>"Pending,Processed,Failed"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_Click">
                <anchor moveWithCells="1" sizeWithCells="1">
                  <from>
                    <xdr:col>23</xdr:col>
                    <xdr:colOff>196850</xdr:colOff>
                    <xdr:row>44</xdr:row>
                    <xdr:rowOff>31750</xdr:rowOff>
                  </from>
                  <to>
                    <xdr:col>24</xdr:col>
                    <xdr:colOff>279400</xdr:colOff>
                    <xdr:row>47</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4CAD1AF-CE43-44E1-A69C-ACC7BBCA6BE5}">
          <x14:formula1>
            <xm:f>Employee_Info!W30:W30</xm:f>
          </x14:formula1>
          <xm:sqref>Y30:Y31</xm:sqref>
        </x14:dataValidation>
        <x14:dataValidation type="list" allowBlank="1" showInputMessage="1" showErrorMessage="1" xr:uid="{3FD0A980-877A-44A6-8B9F-F3A502F20FDA}">
          <x14:formula1>
            <xm:f>Employee_Info!R20:R20</xm:f>
          </x14:formula1>
          <xm:sqref>W20:W29 S49:S58</xm:sqref>
        </x14:dataValidation>
      </x14:dataValidations>
    </ex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BFA1E-5E4E-4DCE-A907-E835D5F114D4}">
  <sheetPr codeName="Sheet6"/>
  <dimension ref="C4:L29"/>
  <sheetViews>
    <sheetView zoomScale="46" zoomScaleNormal="50" workbookViewId="0">
      <selection activeCell="K37" sqref="K37"/>
    </sheetView>
  </sheetViews>
  <sheetFormatPr defaultRowHeight="14.5" x14ac:dyDescent="0.35"/>
  <cols>
    <col min="3" max="3" width="19.08984375" bestFit="1" customWidth="1"/>
    <col min="4" max="4" width="22" bestFit="1" customWidth="1"/>
    <col min="5" max="5" width="19.26953125" bestFit="1" customWidth="1"/>
    <col min="10" max="11" width="19.08984375" bestFit="1" customWidth="1"/>
    <col min="12" max="12" width="30.08984375" bestFit="1" customWidth="1"/>
  </cols>
  <sheetData>
    <row r="4" spans="3:12" x14ac:dyDescent="0.35">
      <c r="C4" s="5" t="s">
        <v>82</v>
      </c>
      <c r="D4" t="s">
        <v>79</v>
      </c>
      <c r="E4" t="s">
        <v>78</v>
      </c>
      <c r="J4" s="5" t="s">
        <v>82</v>
      </c>
      <c r="K4" t="s">
        <v>78</v>
      </c>
      <c r="L4" t="s">
        <v>79</v>
      </c>
    </row>
    <row r="5" spans="3:12" x14ac:dyDescent="0.35">
      <c r="C5" s="7" t="s">
        <v>29</v>
      </c>
      <c r="D5" s="10">
        <v>8400</v>
      </c>
      <c r="E5" s="10">
        <v>6179.4</v>
      </c>
      <c r="J5" s="9">
        <v>45612</v>
      </c>
      <c r="K5" s="10">
        <v>2863.65</v>
      </c>
      <c r="L5" s="10">
        <v>3900</v>
      </c>
    </row>
    <row r="6" spans="3:12" x14ac:dyDescent="0.35">
      <c r="C6" s="7" t="s">
        <v>11</v>
      </c>
      <c r="D6" s="10">
        <v>8160</v>
      </c>
      <c r="E6" s="10">
        <v>5998.56</v>
      </c>
      <c r="J6" s="9">
        <v>45633</v>
      </c>
      <c r="K6" s="10">
        <v>6527.3125</v>
      </c>
      <c r="L6" s="10">
        <v>8875</v>
      </c>
    </row>
    <row r="7" spans="3:12" x14ac:dyDescent="0.35">
      <c r="C7" s="7" t="s">
        <v>18</v>
      </c>
      <c r="D7" s="10">
        <v>9960</v>
      </c>
      <c r="E7" s="10">
        <v>7354.86</v>
      </c>
      <c r="J7" s="9">
        <v>45634</v>
      </c>
      <c r="K7" s="10">
        <v>3511.66</v>
      </c>
      <c r="L7" s="10">
        <v>4760</v>
      </c>
    </row>
    <row r="8" spans="3:12" x14ac:dyDescent="0.35">
      <c r="C8" s="7" t="s">
        <v>38</v>
      </c>
      <c r="D8" s="10">
        <v>3875</v>
      </c>
      <c r="E8" s="10">
        <v>2844.8125</v>
      </c>
      <c r="J8" s="9">
        <v>45716</v>
      </c>
      <c r="K8" s="10">
        <v>3843.2</v>
      </c>
      <c r="L8" s="10">
        <v>5200</v>
      </c>
    </row>
    <row r="9" spans="3:12" x14ac:dyDescent="0.35">
      <c r="C9" s="7" t="s">
        <v>23</v>
      </c>
      <c r="D9" s="10">
        <v>12720</v>
      </c>
      <c r="E9" s="10">
        <v>9339.52</v>
      </c>
      <c r="J9" s="9">
        <v>45722</v>
      </c>
      <c r="K9" s="10">
        <v>3315.75</v>
      </c>
      <c r="L9" s="10">
        <v>4500</v>
      </c>
    </row>
    <row r="10" spans="3:12" x14ac:dyDescent="0.35">
      <c r="C10" s="7" t="s">
        <v>80</v>
      </c>
      <c r="D10" s="10">
        <v>43115</v>
      </c>
      <c r="E10" s="10">
        <v>31717.1525</v>
      </c>
      <c r="J10" s="9">
        <v>45731</v>
      </c>
      <c r="K10" s="10">
        <v>3079.7</v>
      </c>
      <c r="L10" s="10">
        <v>4200</v>
      </c>
    </row>
    <row r="11" spans="3:12" x14ac:dyDescent="0.35">
      <c r="J11" s="9">
        <v>45732</v>
      </c>
      <c r="K11" s="10">
        <v>2577.3199999999997</v>
      </c>
      <c r="L11" s="10">
        <v>3520</v>
      </c>
    </row>
    <row r="12" spans="3:12" x14ac:dyDescent="0.35">
      <c r="J12" s="9">
        <v>410961</v>
      </c>
      <c r="K12" s="10">
        <v>3541.8</v>
      </c>
      <c r="L12" s="10">
        <v>4800</v>
      </c>
    </row>
    <row r="13" spans="3:12" x14ac:dyDescent="0.35">
      <c r="J13" s="7" t="s">
        <v>80</v>
      </c>
      <c r="K13" s="10">
        <v>29260.392499999998</v>
      </c>
      <c r="L13" s="10">
        <v>39755</v>
      </c>
    </row>
    <row r="25" spans="11:12" x14ac:dyDescent="0.35">
      <c r="K25" s="5" t="s">
        <v>82</v>
      </c>
      <c r="L25" t="s">
        <v>81</v>
      </c>
    </row>
    <row r="26" spans="11:12" x14ac:dyDescent="0.35">
      <c r="K26" s="7" t="s">
        <v>68</v>
      </c>
      <c r="L26" s="10">
        <v>1</v>
      </c>
    </row>
    <row r="27" spans="11:12" x14ac:dyDescent="0.35">
      <c r="K27" s="7" t="s">
        <v>69</v>
      </c>
      <c r="L27" s="10">
        <v>1</v>
      </c>
    </row>
    <row r="28" spans="11:12" x14ac:dyDescent="0.35">
      <c r="K28" s="7" t="s">
        <v>67</v>
      </c>
      <c r="L28" s="10">
        <v>8</v>
      </c>
    </row>
    <row r="29" spans="11:12" x14ac:dyDescent="0.35">
      <c r="K29" s="7" t="s">
        <v>80</v>
      </c>
      <c r="L29" s="10">
        <v>10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Employee_Info</vt:lpstr>
      <vt:lpstr>Payroll_Log</vt:lpstr>
      <vt:lpstr>Deductions</vt:lpstr>
      <vt:lpstr>Tax_Info</vt:lpstr>
      <vt:lpstr>Dashboard</vt:lpstr>
      <vt:lpstr>Pivot_Tables</vt:lpstr>
      <vt:lpstr>Employee_IDs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Sevinch Primova</cp:lastModifiedBy>
  <cp:revision/>
  <dcterms:created xsi:type="dcterms:W3CDTF">2025-03-26T22:32:25Z</dcterms:created>
  <dcterms:modified xsi:type="dcterms:W3CDTF">2025-04-05T05:19:14Z</dcterms:modified>
  <cp:category/>
  <cp:contentStatus/>
</cp:coreProperties>
</file>